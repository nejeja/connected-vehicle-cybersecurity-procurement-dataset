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filterPrivacy="1"/>
  <xr:revisionPtr revIDLastSave="19" documentId="13_ncr:1_{D66D951E-F4B5-47A5-A9D4-50816908C786}" xr6:coauthVersionLast="47" xr6:coauthVersionMax="47" xr10:uidLastSave="{79BD890B-5DB8-0247-BB84-F593C366DA9C}"/>
  <bookViews>
    <workbookView xWindow="20" yWindow="660" windowWidth="34560" windowHeight="16780" xr2:uid="{00000000-000D-0000-FFFF-FFFF00000000}"/>
  </bookViews>
  <sheets>
    <sheet name="Unified_Coding" sheetId="1" r:id="rId1"/>
    <sheet name="Codebook" sheetId="2" r:id="rId2"/>
    <sheet name="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2" i="4"/>
  <c r="B8" i="4" l="1"/>
  <c r="B7" i="4"/>
</calcChain>
</file>

<file path=xl/sharedStrings.xml><?xml version="1.0" encoding="utf-8"?>
<sst xmlns="http://schemas.openxmlformats.org/spreadsheetml/2006/main" count="1699" uniqueCount="949">
  <si>
    <t>Record_ID</t>
  </si>
  <si>
    <t>Country</t>
  </si>
  <si>
    <t>Procurement_Platform</t>
  </si>
  <si>
    <t>Platform_Tender_ID</t>
  </si>
  <si>
    <t>NEN_ID</t>
  </si>
  <si>
    <t>Internal_Reference_IDs</t>
  </si>
  <si>
    <t>Master_Tender_Name</t>
  </si>
  <si>
    <t>Tender_Title_or_Lot</t>
  </si>
  <si>
    <t>Contracting_Authority</t>
  </si>
  <si>
    <t>Publication_Year</t>
  </si>
  <si>
    <t>Procurement_Type</t>
  </si>
  <si>
    <t>Priority_or_Sample_Role</t>
  </si>
  <si>
    <t>Initial_Metadata_Code</t>
  </si>
  <si>
    <t>Vehicle_Context</t>
  </si>
  <si>
    <t>Detail_URL</t>
  </si>
  <si>
    <t>Documents_URL</t>
  </si>
  <si>
    <t>Explanations_URL</t>
  </si>
  <si>
    <t>Result_or_Award_URL</t>
  </si>
  <si>
    <t>Source_URL</t>
  </si>
  <si>
    <t>Documents_Reviewed</t>
  </si>
  <si>
    <t>Document_Completeness</t>
  </si>
  <si>
    <t>Explicit_CV_Cybersecurity_Code</t>
  </si>
  <si>
    <t>Digital_Exposure_Code</t>
  </si>
  <si>
    <t>Overall_Finding_Class</t>
  </si>
  <si>
    <t>Direct_Cybersecurity_Requirement</t>
  </si>
  <si>
    <t>R155_R156_Referenced</t>
  </si>
  <si>
    <t>Telematics_or_Remote_Access</t>
  </si>
  <si>
    <t>Location_or_Operational_Data</t>
  </si>
  <si>
    <t>Supplier_Risk_or_Certification</t>
  </si>
  <si>
    <t>Data_Deletion_or_Deactivation</t>
  </si>
  <si>
    <t>kybernetická bezpečnost</t>
  </si>
  <si>
    <t>zranitelnost</t>
  </si>
  <si>
    <t>bezpečnostní aktualizace</t>
  </si>
  <si>
    <t>aktualizace softwaru</t>
  </si>
  <si>
    <t>OTA</t>
  </si>
  <si>
    <t>telematika</t>
  </si>
  <si>
    <t>vzdálená diagnostika</t>
  </si>
  <si>
    <t>vzdálený přístup</t>
  </si>
  <si>
    <t>cloud</t>
  </si>
  <si>
    <t>API</t>
  </si>
  <si>
    <t>GPS</t>
  </si>
  <si>
    <t>lokalizační data</t>
  </si>
  <si>
    <t>provozní data</t>
  </si>
  <si>
    <t>mobilní aplikace</t>
  </si>
  <si>
    <t>R155</t>
  </si>
  <si>
    <t>R156</t>
  </si>
  <si>
    <t>CSMS</t>
  </si>
  <si>
    <t>SUMS</t>
  </si>
  <si>
    <t>incident</t>
  </si>
  <si>
    <t>dodavatelské riziko</t>
  </si>
  <si>
    <t>mazání dat</t>
  </si>
  <si>
    <t>deaktivace služeb</t>
  </si>
  <si>
    <t>Keyword_Score</t>
  </si>
  <si>
    <t>Any_Explicit_Cybersecurity</t>
  </si>
  <si>
    <t>Key_Positive_Evidence</t>
  </si>
  <si>
    <t>Key_Missing_Cyber_Items</t>
  </si>
  <si>
    <t>Recommendation_Needed</t>
  </si>
  <si>
    <t>Short_Conclusion</t>
  </si>
  <si>
    <t>Analyst_Notes</t>
  </si>
  <si>
    <t>CZ-N006-18-V00002888</t>
  </si>
  <si>
    <t>Czech Republic</t>
  </si>
  <si>
    <t>NEN</t>
  </si>
  <si>
    <t>N006/18/V00002888</t>
  </si>
  <si>
    <t>Framework agreement for passenger cars in police and ordinary configuration and service-workshop equipment</t>
  </si>
  <si>
    <t>Ministry of the Interior</t>
  </si>
  <si>
    <t>Direct acquisition / framework</t>
  </si>
  <si>
    <t>High</t>
  </si>
  <si>
    <t>https://nen.nipez.cz/verejne-zakazky/detail-zakazky/N006-18-V00002888</t>
  </si>
  <si>
    <t>https://nen.nipez.cz/verejne-zakazky/detail-zakazky/N006-18-V00002888/zadavaci-dokumentace</t>
  </si>
  <si>
    <t>https://nen.nipez.cz/verejne-zakazky/detail-zakazky/N006-18-V00002888/vysvetleni-dokumentace</t>
  </si>
  <si>
    <t>https://nen.nipez.cz/verejne-zakazky/detail-zakazky/N006-18-V00002888/vysledek</t>
  </si>
  <si>
    <t>CZ-N006-18-V00007773</t>
  </si>
  <si>
    <t>N006/18/V00007773</t>
  </si>
  <si>
    <t>Framework agreement for special police passenger cars for transporting the President and protected persons</t>
  </si>
  <si>
    <t>https://nen.nipez.cz/verejne-zakazky/detail-zakazky/N006-18-V00007773</t>
  </si>
  <si>
    <t>https://nen.nipez.cz/verejne-zakazky/detail-zakazky/N006-18-V00007773/zadavaci-dokumentace</t>
  </si>
  <si>
    <t>https://nen.nipez.cz/verejne-zakazky/detail-zakazky/N006-18-V00007773/vysvetleni-dokumentace</t>
  </si>
  <si>
    <t>https://nen.nipez.cz/verejne-zakazky/detail-zakazky/N006-18-V00007773/vysledek</t>
  </si>
  <si>
    <t>CZ-N006-18-V00001268</t>
  </si>
  <si>
    <t>N006/18/V00001268</t>
  </si>
  <si>
    <t>Service and repair of police service transport assets, armoured wheeled vehicle OKV R</t>
  </si>
  <si>
    <t>Prague Police Regional Directorate</t>
  </si>
  <si>
    <t>Service / repair</t>
  </si>
  <si>
    <t>Medium</t>
  </si>
  <si>
    <t>https://nen.nipez.cz/verejne-zakazky/detail-zakazky/N006-18-V00001268</t>
  </si>
  <si>
    <t>https://nen.nipez.cz/verejne-zakazky/detail-zakazky/N006-18-V00001268/zadavaci-dokumentace</t>
  </si>
  <si>
    <t>https://nen.nipez.cz/verejne-zakazky/detail-zakazky/N006-18-V00001268/vysvetleni-dokumentace</t>
  </si>
  <si>
    <t>https://nen.nipez.cz/verejne-zakazky/detail-zakazky/N006-18-V00001268/vysledek</t>
  </si>
  <si>
    <t>CZ-N006-18-V00023452</t>
  </si>
  <si>
    <t>N006/18/V00023452</t>
  </si>
  <si>
    <t>Technical inspections and emissions measurements</t>
  </si>
  <si>
    <t>Service Facility for the Ministry of the Interior</t>
  </si>
  <si>
    <t>Service / inspection</t>
  </si>
  <si>
    <t>https://nen.nipez.cz/verejne-zakazky/detail-zakazky/N006-18-V00023452</t>
  </si>
  <si>
    <t>https://nen.nipez.cz/verejne-zakazky/detail-zakazky/N006-18-V00023452/zadavaci-dokumentace</t>
  </si>
  <si>
    <t>https://nen.nipez.cz/verejne-zakazky/detail-zakazky/N006-18-V00023452/vysvetleni-dokumentace</t>
  </si>
  <si>
    <t>https://nen.nipez.cz/verejne-zakazky/detail-zakazky/N006-18-V00023452/vysledek</t>
  </si>
  <si>
    <t>CZ-N006-18-V00024471</t>
  </si>
  <si>
    <t>N006/18/V00024471</t>
  </si>
  <si>
    <t>Repairs and service of Škoda vehicles</t>
  </si>
  <si>
    <t>Fire Rescue Service of Liberec Region</t>
  </si>
  <si>
    <t>https://nen.nipez.cz/verejne-zakazky/detail-zakazky/N006-18-V00024471</t>
  </si>
  <si>
    <t>https://nen.nipez.cz/verejne-zakazky/detail-zakazky/N006-18-V00024471/zadavaci-dokumentace</t>
  </si>
  <si>
    <t>https://nen.nipez.cz/verejne-zakazky/detail-zakazky/N006-18-V00024471/vysvetleni-dokumentace</t>
  </si>
  <si>
    <t>https://nen.nipez.cz/verejne-zakazky/detail-zakazky/N006-18-V00024471/vysledek</t>
  </si>
  <si>
    <t>CZ-N006-19-V00013237</t>
  </si>
  <si>
    <t>N006/19/V00013237</t>
  </si>
  <si>
    <t>Framework agreement for passenger road vehicles in commercial configuration</t>
  </si>
  <si>
    <t>https://nen.nipez.cz/verejne-zakazky/detail-zakazky/N006-19-V00013237</t>
  </si>
  <si>
    <t>https://nen.nipez.cz/verejne-zakazky/detail-zakazky/N006-19-V00013237/zadavaci-dokumentace</t>
  </si>
  <si>
    <t>https://nen.nipez.cz/verejne-zakazky/detail-zakazky/N006-19-V00013237/vysvetleni-dokumentace</t>
  </si>
  <si>
    <t>https://nen.nipez.cz/verejne-zakazky/detail-zakazky/N006-19-V00013237/vysledek</t>
  </si>
  <si>
    <t>CZ-N006-20-V00031255</t>
  </si>
  <si>
    <t>N006/20/V00031255</t>
  </si>
  <si>
    <t>Repairs and service of Škoda passenger cars 2021-2025</t>
  </si>
  <si>
    <t>https://nen.nipez.cz/verejne-zakazky/detail-zakazky/N006-20-V00031255</t>
  </si>
  <si>
    <t>https://nen.nipez.cz/verejne-zakazky/detail-zakazky/N006-20-V00031255/zadavaci-dokumentace</t>
  </si>
  <si>
    <t>https://nen.nipez.cz/verejne-zakazky/detail-zakazky/N006-20-V00031255/vysvetleni-dokumentace</t>
  </si>
  <si>
    <t>https://nen.nipez.cz/verejne-zakazky/detail-zakazky/N006-20-V00031255/vysledek</t>
  </si>
  <si>
    <t>CZ-N006-21-V00007975</t>
  </si>
  <si>
    <t>N006/21/V00007975</t>
  </si>
  <si>
    <t>Repairs of Volkswagen passenger and utility vehicles 2021-2025</t>
  </si>
  <si>
    <t>https://nen.nipez.cz/verejne-zakazky/detail-zakazky/N006-21-V00007975</t>
  </si>
  <si>
    <t>https://nen.nipez.cz/verejne-zakazky/detail-zakazky/N006-21-V00007975/zadavaci-dokumentace</t>
  </si>
  <si>
    <t>https://nen.nipez.cz/verejne-zakazky/detail-zakazky/N006-21-V00007975/vysvetleni-dokumentace</t>
  </si>
  <si>
    <t>https://nen.nipez.cz/verejne-zakazky/detail-zakazky/N006-21-V00007975/vysledek</t>
  </si>
  <si>
    <t>CZ-N006-21-V00006905</t>
  </si>
  <si>
    <t>N006/21/V00006905</t>
  </si>
  <si>
    <t>Service and repairs of police service transport assets 2021-2024</t>
  </si>
  <si>
    <t>https://nen.nipez.cz/verejne-zakazky/detail-zakazky/N006-21-V00006905</t>
  </si>
  <si>
    <t>https://nen.nipez.cz/verejne-zakazky/detail-zakazky/N006-21-V00006905/zadavaci-dokumentace</t>
  </si>
  <si>
    <t>https://nen.nipez.cz/verejne-zakazky/detail-zakazky/N006-21-V00006905/vysvetleni-dokumentace</t>
  </si>
  <si>
    <t>https://nen.nipez.cz/verejne-zakazky/detail-zakazky/N006-21-V00006905/vysledek</t>
  </si>
  <si>
    <t>CZ-N006-21-V00013541</t>
  </si>
  <si>
    <t>N006/21/V00013541</t>
  </si>
  <si>
    <t>Delivery of five Škoda Kodiaq vehicles</t>
  </si>
  <si>
    <t>Fire Rescue Service of Moravian-Silesian Region</t>
  </si>
  <si>
    <t>Direct acquisition</t>
  </si>
  <si>
    <t>https://nen.nipez.cz/verejne-zakazky/detail-zakazky/N006-21-V00013541</t>
  </si>
  <si>
    <t>https://nen.nipez.cz/verejne-zakazky/detail-zakazky/N006-21-V00013541/zadavaci-dokumentace</t>
  </si>
  <si>
    <t>https://nen.nipez.cz/verejne-zakazky/detail-zakazky/N006-21-V00013541/vysvetleni-dokumentace</t>
  </si>
  <si>
    <t>https://nen.nipez.cz/verejne-zakazky/detail-zakazky/N006-21-V00013541/vysledek</t>
  </si>
  <si>
    <t>CZ-N006-22-V00007257</t>
  </si>
  <si>
    <t>N006/22/V00007257</t>
  </si>
  <si>
    <t>Framework agreement for vehicles in police configuration with frame - Part B</t>
  </si>
  <si>
    <t>https://nen.nipez.cz/verejne-zakazky/detail-zakazky/N006-22-V00007257</t>
  </si>
  <si>
    <t>https://nen.nipez.cz/verejne-zakazky/detail-zakazky/N006-22-V00007257/zadavaci-dokumentace</t>
  </si>
  <si>
    <t>https://nen.nipez.cz/verejne-zakazky/detail-zakazky/N006-22-V00007257/vysvetleni-dokumentace</t>
  </si>
  <si>
    <t>https://nen.nipez.cz/verejne-zakazky/detail-zakazky/N006-22-V00007257/vysledek</t>
  </si>
  <si>
    <t>CZ-N006-22-V00024279</t>
  </si>
  <si>
    <t>N006/22/V00024279</t>
  </si>
  <si>
    <t>Framework agreement for passenger road vehicles in commercial configuration - Part 7</t>
  </si>
  <si>
    <t>https://nen.nipez.cz/verejne-zakazky/detail-zakazky/N006-22-V00024279</t>
  </si>
  <si>
    <t>https://nen.nipez.cz/verejne-zakazky/detail-zakazky/N006-22-V00024279/zadavaci-dokumentace</t>
  </si>
  <si>
    <t>https://nen.nipez.cz/verejne-zakazky/detail-zakazky/N006-22-V00024279/vysvetleni-dokumentace</t>
  </si>
  <si>
    <t>https://nen.nipez.cz/verejne-zakazky/detail-zakazky/N006-22-V00024279/vysledek</t>
  </si>
  <si>
    <t>CZ-N006-22-V00027328</t>
  </si>
  <si>
    <t>N006/22/V00027328</t>
  </si>
  <si>
    <t>Towing services for vehicles up to 3.5 t for Moravian-Silesian police units</t>
  </si>
  <si>
    <t>Moravian-Silesian Police Regional Directorate</t>
  </si>
  <si>
    <t>Vehicle-related service</t>
  </si>
  <si>
    <t>Low</t>
  </si>
  <si>
    <t>https://nen.nipez.cz/verejne-zakazky/detail-zakazky/N006-22-V00027328</t>
  </si>
  <si>
    <t>https://nen.nipez.cz/verejne-zakazky/detail-zakazky/N006-22-V00027328/zadavaci-dokumentace</t>
  </si>
  <si>
    <t>https://nen.nipez.cz/verejne-zakazky/detail-zakazky/N006-22-V00027328/vysvetleni-dokumentace</t>
  </si>
  <si>
    <t>https://nen.nipez.cz/verejne-zakazky/detail-zakazky/N006-22-V00027328/vysledek</t>
  </si>
  <si>
    <t>CZ-N006-23-V00008564</t>
  </si>
  <si>
    <t>N006/23/V00008564</t>
  </si>
  <si>
    <t>Delivery of 13 Škoda Kodiaq 2.0 TSI passenger road vehicles with hidden warning equipment</t>
  </si>
  <si>
    <t>Hradec Králové Police Regional Directorate</t>
  </si>
  <si>
    <t>https://nen.nipez.cz/verejne-zakazky/detail-zakazky/N006-23-V00008564</t>
  </si>
  <si>
    <t>https://nen.nipez.cz/verejne-zakazky/detail-zakazky/N006-23-V00008564/zadavaci-dokumentace</t>
  </si>
  <si>
    <t>https://nen.nipez.cz/verejne-zakazky/detail-zakazky/N006-23-V00008564/vysvetleni-dokumentace</t>
  </si>
  <si>
    <t>https://nen.nipez.cz/verejne-zakazky/detail-zakazky/N006-23-V00008564/vysledek</t>
  </si>
  <si>
    <t>CZ-N006-23-V00008598</t>
  </si>
  <si>
    <t>N006/23/V00008598</t>
  </si>
  <si>
    <t>Delivery of 20 Škoda Kodiaq vehicles including warning equipment</t>
  </si>
  <si>
    <t>https://nen.nipez.cz/verejne-zakazky/detail-zakazky/N006-23-V00008598</t>
  </si>
  <si>
    <t>https://nen.nipez.cz/verejne-zakazky/detail-zakazky/N006-23-V00008598/zadavaci-dokumentace</t>
  </si>
  <si>
    <t>https://nen.nipez.cz/verejne-zakazky/detail-zakazky/N006-23-V00008598/vysvetleni-dokumentace</t>
  </si>
  <si>
    <t>CZ-N006-23-V00008603</t>
  </si>
  <si>
    <t>N006/23/V00008603</t>
  </si>
  <si>
    <t>Delivery of vehicles in commercial configuration</t>
  </si>
  <si>
    <t>Central Bohemian Police Regional Directorate</t>
  </si>
  <si>
    <t>https://nen.nipez.cz/verejne-zakazky/detail-zakazky/N006-23-V00008603</t>
  </si>
  <si>
    <t>https://nen.nipez.cz/verejne-zakazky/detail-zakazky/N006-23-V00008603/zadavaci-dokumentace</t>
  </si>
  <si>
    <t>https://nen.nipez.cz/verejne-zakazky/detail-zakazky/N006-23-V00008603/vysvetleni-dokumentace</t>
  </si>
  <si>
    <t>https://nen.nipez.cz/verejne-zakazky/detail-zakazky/N006-23-V00008603/vysledek</t>
  </si>
  <si>
    <t>CZ-N006-23-V00008820</t>
  </si>
  <si>
    <t>N006/23/V00008820</t>
  </si>
  <si>
    <t>Commercial-configured SDP from framework agreement</t>
  </si>
  <si>
    <t>Pilsen Police Regional Directorate</t>
  </si>
  <si>
    <t>https://nen.nipez.cz/verejne-zakazky/detail-zakazky/N006-23-V00008820</t>
  </si>
  <si>
    <t>https://nen.nipez.cz/verejne-zakazky/detail-zakazky/N006-23-V00008820/zadavaci-dokumentace</t>
  </si>
  <si>
    <t>https://nen.nipez.cz/verejne-zakazky/detail-zakazky/N006-23-V00008820/vysvetleni-dokumentace</t>
  </si>
  <si>
    <t>https://nen.nipez.cz/verejne-zakazky/detail-zakazky/N006-23-V00008820/vysledek</t>
  </si>
  <si>
    <t>CZ-N006-23-V00010025</t>
  </si>
  <si>
    <t>N006/23/V00010025</t>
  </si>
  <si>
    <t>Delivery of one Škoda Superb passenger road vehicle</t>
  </si>
  <si>
    <t>Ústí Police Regional Directorate</t>
  </si>
  <si>
    <t>https://nen.nipez.cz/verejne-zakazky/detail-zakazky/N006-23-V00010025</t>
  </si>
  <si>
    <t>https://nen.nipez.cz/verejne-zakazky/detail-zakazky/N006-23-V00010025/zadavaci-dokumentace</t>
  </si>
  <si>
    <t>https://nen.nipez.cz/verejne-zakazky/detail-zakazky/N006-23-V00010025/vysvetleni-dokumentace</t>
  </si>
  <si>
    <t>https://nen.nipez.cz/verejne-zakazky/detail-zakazky/N006-23-V00010025/vysledek</t>
  </si>
  <si>
    <t>CZ-N006-23-V00017003</t>
  </si>
  <si>
    <t>N006/23/V00017003</t>
  </si>
  <si>
    <t>Framework agreement for special off-road SxS vehicles for the Fire Rescue Service</t>
  </si>
  <si>
    <t>Fire Rescue Service of the Czech Republic</t>
  </si>
  <si>
    <t>https://nen.nipez.cz/verejne-zakazky/detail-zakazky/N006-23-V00017003</t>
  </si>
  <si>
    <t>https://nen.nipez.cz/verejne-zakazky/detail-zakazky/N006-23-V00017003/zadavaci-dokumentace</t>
  </si>
  <si>
    <t>https://nen.nipez.cz/verejne-zakazky/detail-zakazky/N006-23-V00017003/vysvetleni-dokumentace</t>
  </si>
  <si>
    <t>https://nen.nipez.cz/verejne-zakazky/detail-zakazky/N006-23-V00017003/vysledek</t>
  </si>
  <si>
    <t>CZ-N006-23-V00018119</t>
  </si>
  <si>
    <t>N006/23/V00018119</t>
  </si>
  <si>
    <t>Service maintenance of TATRA T-810 vehicles</t>
  </si>
  <si>
    <t>Ministry of Defence</t>
  </si>
  <si>
    <t>https://nen.nipez.cz/verejne-zakazky/detail-zakazky/N006-23-V00018119</t>
  </si>
  <si>
    <t>https://nen.nipez.cz/verejne-zakazky/detail-zakazky/N006-23-V00018119/zadavaci-dokumentace</t>
  </si>
  <si>
    <t>https://nen.nipez.cz/verejne-zakazky/detail-zakazky/N006-23-V00018119/vysvetleni-dokumentace</t>
  </si>
  <si>
    <t>https://nen.nipez.cz/verejne-zakazky/detail-zakazky/N006-23-V00018119/vysledek</t>
  </si>
  <si>
    <t>CZ-N006-23-V00013533</t>
  </si>
  <si>
    <t>N006/23/V00013533</t>
  </si>
  <si>
    <t>Warranty and service inspection of T815 FORCE vehicles</t>
  </si>
  <si>
    <t>https://nen.nipez.cz/verejne-zakazky/detail-zakazky/N006-23-V00013533</t>
  </si>
  <si>
    <t>https://nen.nipez.cz/verejne-zakazky/detail-zakazky/N006-23-V00013533/zadavaci-dokumentace</t>
  </si>
  <si>
    <t>https://nen.nipez.cz/verejne-zakazky/detail-zakazky/N006-23-V00013533/vysvetleni-dokumentace</t>
  </si>
  <si>
    <t>https://nen.nipez.cz/verejne-zakazky/detail-zakazky/N006-23-V00013533/vysledek</t>
  </si>
  <si>
    <t>CZ-N006-23-V00031612</t>
  </si>
  <si>
    <t>N006/23/V00031612</t>
  </si>
  <si>
    <t>Original spare parts for Škoda and Volkswagen vehicles used mainly by police</t>
  </si>
  <si>
    <t>Police Regional Directorate</t>
  </si>
  <si>
    <t>Parts / maintenance</t>
  </si>
  <si>
    <t>https://nen.nipez.cz/verejne-zakazky/detail-zakazky/N006-23-V00031612</t>
  </si>
  <si>
    <t>https://nen.nipez.cz/verejne-zakazky/detail-zakazky/N006-23-V00031612/zadavaci-dokumentace</t>
  </si>
  <si>
    <t>https://nen.nipez.cz/verejne-zakazky/detail-zakazky/N006-23-V00031612/vysvetleni-dokumentace</t>
  </si>
  <si>
    <t>https://nen.nipez.cz/verejne-zakazky/detail-zakazky/N006-23-V00031612/vysledek</t>
  </si>
  <si>
    <t>CZ-N006-24-V00004739</t>
  </si>
  <si>
    <t>N006/24/V00004739</t>
  </si>
  <si>
    <t>Repairs of Volkswagen passenger and utility vehicles 2024-2027</t>
  </si>
  <si>
    <t>https://nen.nipez.cz/verejne-zakazky/detail-zakazky/N006-24-V00004739</t>
  </si>
  <si>
    <t>https://nen.nipez.cz/verejne-zakazky/detail-zakazky/N006-24-V00004739/zadavaci-dokumentace</t>
  </si>
  <si>
    <t>https://nen.nipez.cz/verejne-zakazky/detail-zakazky/N006-24-V00004739/vysvetleni-dokumentace</t>
  </si>
  <si>
    <t>https://nen.nipez.cz/verejne-zakazky/detail-zakazky/N006-24-V00004739/vysledek</t>
  </si>
  <si>
    <t>CZ-N006-24-V00007557</t>
  </si>
  <si>
    <t>N006/24/V00007557</t>
  </si>
  <si>
    <t>Tyres and tyre-service work for HZS Ústí vehicles in 2024</t>
  </si>
  <si>
    <t>Fire Rescue Service of Ústí Region</t>
  </si>
  <si>
    <t>https://nen.nipez.cz/verejne-zakazky/detail-zakazky/N006-24-V00007557</t>
  </si>
  <si>
    <t>https://nen.nipez.cz/verejne-zakazky/detail-zakazky/N006-24-V00007557/zadavaci-dokumentace</t>
  </si>
  <si>
    <t>https://nen.nipez.cz/verejne-zakazky/detail-zakazky/N006-24-V00007557/vysvetleni-dokumentace</t>
  </si>
  <si>
    <t>https://nen.nipez.cz/verejne-zakazky/detail-zakazky/N006-24-V00007557/vysledek</t>
  </si>
  <si>
    <t>CZ-N006-24-V00011736</t>
  </si>
  <si>
    <t>N006/24/V00011736</t>
  </si>
  <si>
    <t>Framework agreement for passenger road vehicles - Part 1 limousines</t>
  </si>
  <si>
    <t>https://nen.nipez.cz/verejne-zakazky/detail-zakazky/N006-24-V00011736</t>
  </si>
  <si>
    <t>https://nen.nipez.cz/verejne-zakazky/detail-zakazky/N006-24-V00011736/zadavaci-dokumentace</t>
  </si>
  <si>
    <t>https://nen.nipez.cz/verejne-zakazky/detail-zakazky/N006-24-V00011736/vysvetleni-dokumentace</t>
  </si>
  <si>
    <t>https://nen.nipez.cz/verejne-zakazky/detail-zakazky/N006-24-V00011736/vysledek</t>
  </si>
  <si>
    <t>CZ-N006-24-V00011737</t>
  </si>
  <si>
    <t>N006/24/V00011737</t>
  </si>
  <si>
    <t>Framework agreement for passenger road vehicles - Part 2</t>
  </si>
  <si>
    <t>https://nen.nipez.cz/verejne-zakazky/detail-zakazky/N006-24-V00011737</t>
  </si>
  <si>
    <t>https://nen.nipez.cz/verejne-zakazky/detail-zakazky/N006-24-V00011737/zadavaci-dokumentace</t>
  </si>
  <si>
    <t>https://nen.nipez.cz/verejne-zakazky/detail-zakazky/N006-24-V00011737/vysvetleni-dokumentace</t>
  </si>
  <si>
    <t>https://nen.nipez.cz/verejne-zakazky/detail-zakazky/N006-24-V00011737/vysledek</t>
  </si>
  <si>
    <t>CZ-N006-24-V00026366</t>
  </si>
  <si>
    <t>N006/24/V00026366</t>
  </si>
  <si>
    <t>Framework agreement for passenger road vehicles - firefighter specials</t>
  </si>
  <si>
    <t>https://nen.nipez.cz/verejne-zakazky/detail-zakazky/N006-24-V00026366</t>
  </si>
  <si>
    <t>https://nen.nipez.cz/verejne-zakazky/detail-zakazky/N006-24-V00026366/zadavaci-dokumentace</t>
  </si>
  <si>
    <t>https://nen.nipez.cz/verejne-zakazky/detail-zakazky/N006-24-V00026366/vysvetleni-dokumentace</t>
  </si>
  <si>
    <t>https://nen.nipez.cz/verejne-zakazky/detail-zakazky/N006-24-V00026366/vysledek</t>
  </si>
  <si>
    <t>CZ-N006-24-V00029749</t>
  </si>
  <si>
    <t>N006/24/V00029749</t>
  </si>
  <si>
    <t>Service and repairs of police service transport assets 2024-2028</t>
  </si>
  <si>
    <t>https://nen.nipez.cz/verejne-zakazky/detail-zakazky/N006-24-V00029749</t>
  </si>
  <si>
    <t>https://nen.nipez.cz/verejne-zakazky/detail-zakazky/N006-24-V00029749/zadavaci-dokumentace</t>
  </si>
  <si>
    <t>https://nen.nipez.cz/verejne-zakazky/detail-zakazky/N006-24-V00029749/vysvetleni-dokumentace</t>
  </si>
  <si>
    <t>https://nen.nipez.cz/verejne-zakazky/detail-zakazky/N006-24-V00029749/vysledek</t>
  </si>
  <si>
    <t>CZ-N006-24-V00030618</t>
  </si>
  <si>
    <t>N006/24/V00030618</t>
  </si>
  <si>
    <t>Framework agreement for SUV passenger road vehicles - Part B</t>
  </si>
  <si>
    <t>https://nen.nipez.cz/verejne-zakazky/detail-zakazky/N006-24-V00030618</t>
  </si>
  <si>
    <t>https://nen.nipez.cz/verejne-zakazky/detail-zakazky/N006-24-V00030618/zadavaci-dokumentace</t>
  </si>
  <si>
    <t>https://nen.nipez.cz/verejne-zakazky/detail-zakazky/N006-24-V00030618/vysvetleni-dokumentace</t>
  </si>
  <si>
    <t>https://nen.nipez.cz/verejne-zakazky/detail-zakazky/N006-24-V00030618/vysledek</t>
  </si>
  <si>
    <t>CZ-N006-24-V00030621</t>
  </si>
  <si>
    <t>N006/24/V00030621</t>
  </si>
  <si>
    <t>Framework agreement for SUV passenger road vehicles - Part C</t>
  </si>
  <si>
    <t>https://nen.nipez.cz/verejne-zakazky/detail-zakazky/N006-24-V00030621</t>
  </si>
  <si>
    <t>https://nen.nipez.cz/verejne-zakazky/detail-zakazky/N006-24-V00030621/zadavaci-dokumentace</t>
  </si>
  <si>
    <t>https://nen.nipez.cz/verejne-zakazky/detail-zakazky/N006-24-V00030621/vysvetleni-dokumentace</t>
  </si>
  <si>
    <t>https://nen.nipez.cz/verejne-zakazky/detail-zakazky/N006-24-V00030621/vysledek</t>
  </si>
  <si>
    <t>CZ-N006-24-V00038974</t>
  </si>
  <si>
    <t>N006/24/V00038974</t>
  </si>
  <si>
    <t>Central framework agreement - support and development of command-staff vehicle resources</t>
  </si>
  <si>
    <t>Vehicle-related ICT / software support</t>
  </si>
  <si>
    <t>https://nen.nipez.cz/verejne-zakazky/detail-zakazky/N006-24-V00038974</t>
  </si>
  <si>
    <t>https://nen.nipez.cz/verejne-zakazky/detail-zakazky/N006-24-V00038974/zadavaci-dokumentace</t>
  </si>
  <si>
    <t>https://nen.nipez.cz/verejne-zakazky/detail-zakazky/N006-24-V00038974/vysvetleni-dokumentace</t>
  </si>
  <si>
    <t>https://nen.nipez.cz/verejne-zakazky/detail-zakazky/N006-24-V00038974/vysledek</t>
  </si>
  <si>
    <t>CZ-N006-25-V00036428</t>
  </si>
  <si>
    <t>N006/25/V00036428</t>
  </si>
  <si>
    <t>Dynamic purchasing system for vehicle supplies</t>
  </si>
  <si>
    <t>Direct acquisition / DNS</t>
  </si>
  <si>
    <t>https://nen.nipez.cz/verejne-zakazky/detail-zakazky/N006-25-V00036428</t>
  </si>
  <si>
    <t>https://nen.nipez.cz/verejne-zakazky/detail-zakazky/N006-25-V00036428/zadavaci-dokumentace</t>
  </si>
  <si>
    <t>https://nen.nipez.cz/verejne-zakazky/detail-zakazky/N006-25-V00036428/vysvetleni-dokumentace</t>
  </si>
  <si>
    <t>https://nen.nipez.cz/verejne-zakazky/detail-zakazky/N006-25-V00036428/vysledek</t>
  </si>
  <si>
    <t>CZ-N006-25-V00038625</t>
  </si>
  <si>
    <t>N006/25/V00038625</t>
  </si>
  <si>
    <t>Framework agreement for M1 4x4 minibuses - Part A</t>
  </si>
  <si>
    <t>https://nen.nipez.cz/verejne-zakazky/detail-zakazky/N006-25-V00038625</t>
  </si>
  <si>
    <t>https://nen.nipez.cz/verejne-zakazky/detail-zakazky/N006-25-V00038625/zadavaci-dokumentace</t>
  </si>
  <si>
    <t>https://nen.nipez.cz/verejne-zakazky/detail-zakazky/N006-25-V00038625/vysvetleni-dokumentace</t>
  </si>
  <si>
    <t>https://nen.nipez.cz/verejne-zakazky/detail-zakazky/N006-25-V00038625/vysledek</t>
  </si>
  <si>
    <t>CZ-N006-25-V00038632</t>
  </si>
  <si>
    <t>N006/25/V00038632</t>
  </si>
  <si>
    <t>Framework agreement for M1 4x4 minibuses - Part C</t>
  </si>
  <si>
    <t>https://nen.nipez.cz/verejne-zakazky/detail-zakazky/N006-25-V00038632</t>
  </si>
  <si>
    <t>https://nen.nipez.cz/verejne-zakazky/detail-zakazky/N006-25-V00038632/zadavaci-dokumentace</t>
  </si>
  <si>
    <t>https://nen.nipez.cz/verejne-zakazky/detail-zakazky/N006-25-V00038632/vysvetleni-dokumentace</t>
  </si>
  <si>
    <t>https://nen.nipez.cz/verejne-zakazky/detail-zakazky/N006-25-V00038632/vysledek</t>
  </si>
  <si>
    <t>CZ-N006-25-V00036339</t>
  </si>
  <si>
    <t>N006/25/V00036339</t>
  </si>
  <si>
    <t>Delivery of vehicles in police configuration with frame - first-response patrols</t>
  </si>
  <si>
    <t>Pardubice Police Regional Directorate</t>
  </si>
  <si>
    <t>https://nen.nipez.cz/verejne-zakazky/detail-zakazky/N006-25-V00036339</t>
  </si>
  <si>
    <t>https://nen.nipez.cz/verejne-zakazky/detail-zakazky/N006-25-V00036339/zadavaci-dokumentace</t>
  </si>
  <si>
    <t>https://nen.nipez.cz/verejne-zakazky/detail-zakazky/N006-25-V00036339/vysvetleni-dokumentace</t>
  </si>
  <si>
    <t>https://nen.nipez.cz/verejne-zakazky/detail-zakazky/N006-25-V00036339/vysledek</t>
  </si>
  <si>
    <t>CZ-N006-25-V00036086</t>
  </si>
  <si>
    <t>N006/25/V00036086</t>
  </si>
  <si>
    <t>Delivery of 17 Škoda Kodiaq vehicles in commercial configuration with hidden warning equipment</t>
  </si>
  <si>
    <t>https://nen.nipez.cz/verejne-zakazky/detail-zakazky/N006-25-V00036086</t>
  </si>
  <si>
    <t>https://nen.nipez.cz/verejne-zakazky/detail-zakazky/N006-25-V00036086/zadavaci-dokumentace</t>
  </si>
  <si>
    <t>https://nen.nipez.cz/verejne-zakazky/detail-zakazky/N006-25-V00036086/vysvetleni-dokumentace</t>
  </si>
  <si>
    <t>https://nen.nipez.cz/verejne-zakazky/detail-zakazky/N006-25-V00036086/vysledek</t>
  </si>
  <si>
    <t>CZ-N006-26-V00010804</t>
  </si>
  <si>
    <t>N006/26/V00010804</t>
  </si>
  <si>
    <t>Service and repairs of police service transport assets 2026-2029</t>
  </si>
  <si>
    <t>https://nen.nipez.cz/verejne-zakazky/detail-zakazky/N006-26-V00010804</t>
  </si>
  <si>
    <t>https://nen.nipez.cz/verejne-zakazky/detail-zakazky/N006-26-V00010804/zadavaci-dokumentace</t>
  </si>
  <si>
    <t>https://nen.nipez.cz/verejne-zakazky/detail-zakazky/N006-26-V00010804/vysvetleni-dokumentace</t>
  </si>
  <si>
    <t>https://nen.nipez.cz/verejne-zakazky/detail-zakazky/N006-26-V00010804/vysledek</t>
  </si>
  <si>
    <t>CZ-N006-26-V00012883</t>
  </si>
  <si>
    <t>N006/26/V00012883</t>
  </si>
  <si>
    <t>Tyres and tyre-service work for HZS Ústí vehicles 2026-2027</t>
  </si>
  <si>
    <t>https://nen.nipez.cz/verejne-zakazky/detail-zakazky/N006-26-V00012883</t>
  </si>
  <si>
    <t>https://nen.nipez.cz/verejne-zakazky/detail-zakazky/N006-26-V00012883/zadavaci-dokumentace</t>
  </si>
  <si>
    <t>https://nen.nipez.cz/verejne-zakazky/detail-zakazky/N006-26-V00012883/vysvetleni-dokumentace</t>
  </si>
  <si>
    <t>https://nen.nipez.cz/verejne-zakazky/detail-zakazky/N006-26-V00012883/vysledek</t>
  </si>
  <si>
    <t>CZ-N006-26-V00012882</t>
  </si>
  <si>
    <t>N006/26/V00012882</t>
  </si>
  <si>
    <t>Technical inspections and emissions measurements for HZS Ústí vehicles 2026-2028</t>
  </si>
  <si>
    <t>https://nen.nipez.cz/verejne-zakazky/detail-zakazky/N006-26-V00012882</t>
  </si>
  <si>
    <t>https://nen.nipez.cz/verejne-zakazky/detail-zakazky/N006-26-V00012882/zadavaci-dokumentace</t>
  </si>
  <si>
    <t>https://nen.nipez.cz/verejne-zakazky/detail-zakazky/N006-26-V00012882/vysvetleni-dokumentace</t>
  </si>
  <si>
    <t>https://nen.nipez.cz/verejne-zakazky/detail-zakazky/N006-26-V00012882/vysledek</t>
  </si>
  <si>
    <t>CZ-N006-26-V00004405</t>
  </si>
  <si>
    <t>N006/26/V00004405</t>
  </si>
  <si>
    <t>Technical automobile, light weight category, one unit</t>
  </si>
  <si>
    <t>Fire Rescue Service of South Bohemian Region</t>
  </si>
  <si>
    <t>https://nen.nipez.cz/verejne-zakazky/detail-zakazky/N006-26-V00004405</t>
  </si>
  <si>
    <t>https://nen.nipez.cz/verejne-zakazky/detail-zakazky/N006-26-V00004405/zadavaci-dokumentace</t>
  </si>
  <si>
    <t>https://nen.nipez.cz/verejne-zakazky/detail-zakazky/N006-26-V00004405/vysvetleni-dokumentace</t>
  </si>
  <si>
    <t>https://nen.nipez.cz/verejne-zakazky/detail-zakazky/N006-26-V00004405/vysledek</t>
  </si>
  <si>
    <t>United Kingdom</t>
  </si>
  <si>
    <t>Find a Tender / GCA-CCS</t>
  </si>
  <si>
    <t>Tyres, Glass &amp; Telematics</t>
  </si>
  <si>
    <t>Crown Commercial Service</t>
  </si>
  <si>
    <t>Comparative sample</t>
  </si>
  <si>
    <t>UK comparator</t>
  </si>
  <si>
    <t>Lot 4 is vehicle telematics hardware/software; Cyber Essentials and Security Requirement and Plan are visible in notice text.</t>
  </si>
  <si>
    <t>https://www.find-tender.service.gov.uk/Notice/002027-2025</t>
  </si>
  <si>
    <t>https://www.contractsfinder.service.gov.uk/Notice/a9eb91f0-56a0-4d17-833f-a2bcb13a7ac2</t>
  </si>
  <si>
    <t>UK-RM6315</t>
  </si>
  <si>
    <t>RM6315</t>
  </si>
  <si>
    <t>Vehicle Telematics Solutions</t>
  </si>
  <si>
    <t>Telematics hardware/software, real-time vehicle data, specialist/heavy vehicles, covert operations and blue-light fleet/incident management.</t>
  </si>
  <si>
    <t>https://www.crowncommercial.gov.uk/news/ccs-vehicle-telematics-solutions-agreement-live</t>
  </si>
  <si>
    <t>https://assets.crowncommercial.gov.uk/wp-content/uploads/RM6315-Framework-Schedule-1-Specification-v1.0.docx</t>
  </si>
  <si>
    <t>Vehicle Hire Solutions</t>
  </si>
  <si>
    <t>2022/2023</t>
  </si>
  <si>
    <t>Vehicle hire framework; Cyber Essentials visible in notice text.</t>
  </si>
  <si>
    <t>https://www.find-tender.service.gov.uk/Notice/030726-2022</t>
  </si>
  <si>
    <t>https://www.contractsfinder.service.gov.uk/Notice/f5580561-f493-48e5-bfb7-dd9dbc69d09b</t>
  </si>
  <si>
    <t>UK-RM6244</t>
  </si>
  <si>
    <t>RM6244</t>
  </si>
  <si>
    <t>Purchase of Standard and Specialist Vehicles</t>
  </si>
  <si>
    <t>Government Commercial Agency / CCS</t>
  </si>
  <si>
    <t>2022-2026 agreement</t>
  </si>
  <si>
    <t>https://www.crowncommercial.gov.uk/agreements/RM6244</t>
  </si>
  <si>
    <t>https://assets.crowncommercial.gov.uk/wp-content/uploads/RM6244-Purchase-of-Standard-and-Specialist-Vehicles-Buyer-Guide.odt</t>
  </si>
  <si>
    <t>NL-TN-575005-publicatie-414298</t>
  </si>
  <si>
    <t>Netherlands</t>
  </si>
  <si>
    <t>TenderNed</t>
  </si>
  <si>
    <t>TN-575005 / publicatie 414298</t>
  </si>
  <si>
    <t>Recognisable SIV police vehicles (CGD-SIV-2022)</t>
  </si>
  <si>
    <t>Politie</t>
  </si>
  <si>
    <t>NL comparator</t>
  </si>
  <si>
    <t>https://www.tenderned.nl/papi/tenderned-rs-tns/v2/publicaties/414298/pdf</t>
  </si>
  <si>
    <t>Use TenderNed page if accessible: https://www.tenderned.nl/aankondigingen/overzicht ; search publication 414298 or CGD-SIV-2022</t>
  </si>
  <si>
    <t>NL-publicatie-365028-procedure-54cd0066-761</t>
  </si>
  <si>
    <t>publicatie 365028 / procedure 54cd0066-7613-44f3-842c-e65bbe1e5ad8</t>
  </si>
  <si>
    <t>National navigation, vehicle tracking and trip-registration systems</t>
  </si>
  <si>
    <t>ProRail B.V.</t>
  </si>
  <si>
    <t>Vehicle tracking, driver identification, fleet-management system, navigation app, software/ICT components and interfaces.</t>
  </si>
  <si>
    <t>https://tenderned.nl/papi/tenderned-rs-tns/v2/publicaties/365028/pdf</t>
  </si>
  <si>
    <t>Award publication: https://tenderned.nl/papi/tenderned-rs-tns/v2/publicaties/374891/pdf</t>
  </si>
  <si>
    <t>NL-publicatie-323126</t>
  </si>
  <si>
    <t>publicatie 323126</t>
  </si>
  <si>
    <t>Lease vehicles / 24/7 organisation and digital information system for fleet</t>
  </si>
  <si>
    <t>UMCG or public health organisation visible in publication text</t>
  </si>
  <si>
    <t>Experience with supplying vehicles to a 24/7 organisation, implementing a digital information system for a fleet, and information-security management system, e.g. ISO 27001.</t>
  </si>
  <si>
    <t>https://www.tenderned.nl/papi/tenderned-rs-tns/v2/publicaties/323126/pdf</t>
  </si>
  <si>
    <t>Search TenderNed by publication 323126 for all documents.</t>
  </si>
  <si>
    <t>NL-publicatie-document-406685</t>
  </si>
  <si>
    <t>publicatie/document 406685</t>
  </si>
  <si>
    <t>Application landscape for waste service, incl. fleet-management and vehicles</t>
  </si>
  <si>
    <t>Gemeente ’s-Hertogenbosch</t>
  </si>
  <si>
    <t>2025/2026</t>
  </si>
  <si>
    <t>SaaS, APIs, vehicle resources, on-board computers, data exchange, BIO/BIO2 information-security and privacy frameworks.</t>
  </si>
  <si>
    <t>https://www.tenderned.nl/papi/tenderned-rs-tns/v2/publicaties/406685/documenten/13510443/content</t>
  </si>
  <si>
    <t>Search TenderNed by publication 406685 for the procurement package.</t>
  </si>
  <si>
    <t>NL-document-3424829-publicatie-137453</t>
  </si>
  <si>
    <t>document 3424829 / publicatie 137453</t>
  </si>
  <si>
    <t>Optimisation of waste-collection processes and fleet-management system</t>
  </si>
  <si>
    <t>Gemeente Amsterdam</t>
  </si>
  <si>
    <t>Vehicle data, CAN-bus optional connection, fleet-management system, municipal information-security baseline BIG/ISO 27001/27002.</t>
  </si>
  <si>
    <t>https://www.tenderned.nl/papi/tenderned-rs-tns/v2/publicaties/137453/documenten/3424829/content</t>
  </si>
  <si>
    <t>Search TenderNed by publication 137453 for the procurement package.</t>
  </si>
  <si>
    <t>Field / Code</t>
  </si>
  <si>
    <t>Meaning</t>
  </si>
  <si>
    <t>How to use</t>
  </si>
  <si>
    <t>Keyword status 0</t>
  </si>
  <si>
    <t>Absent</t>
  </si>
  <si>
    <t>Not found in reviewed documents.</t>
  </si>
  <si>
    <t>Keyword status 1</t>
  </si>
  <si>
    <t>Indirect or implicit</t>
  </si>
  <si>
    <t>Concept is implied by a technical element, but the term or obligation is not named.</t>
  </si>
  <si>
    <t>Keyword status 2</t>
  </si>
  <si>
    <t>Explicit technical mention</t>
  </si>
  <si>
    <t>Term/concept is explicitly present, but not as a cybersecurity requirement.</t>
  </si>
  <si>
    <t>Keyword status 3</t>
  </si>
  <si>
    <t>Explicit cybersecurity requirement</t>
  </si>
  <si>
    <t>Concept is linked to security, risk, vulnerability, incident, certification, assurance, data deletion, remote-service control, CSMS/SUMS, R155/R156 or similar.</t>
  </si>
  <si>
    <t>Explicit_CV_Cybersecurity_Code 0</t>
  </si>
  <si>
    <t>No visible cyber/digital marker</t>
  </si>
  <si>
    <t>Vehicle procurement without visible connected/digital/cybersecurity layer.</t>
  </si>
  <si>
    <t>Explicit_CV_Cybersecurity_Code 1</t>
  </si>
  <si>
    <t>General digital/technical marker only</t>
  </si>
  <si>
    <t>Vehicle contains or mentions digital/technical features, but no real ICT/telematics/software layer.</t>
  </si>
  <si>
    <t>Explicit_CV_Cybersecurity_Code 2</t>
  </si>
  <si>
    <t>ICT/telematics/software present, no explicit cybersecurity</t>
  </si>
  <si>
    <t>Diagnostics, telematics, location data, data terminals, online support, software or ICT present; no explicit cybersecurity obligation.</t>
  </si>
  <si>
    <t>Explicit_CV_Cybersecurity_Code 3</t>
  </si>
  <si>
    <t>General cybersecurity/information-security requirement</t>
  </si>
  <si>
    <t>Cybersecurity/information security is expressly required, but not specifically connected-vehicle cybersecurity.</t>
  </si>
  <si>
    <t>Explicit_CV_Cybersecurity_Code 4</t>
  </si>
  <si>
    <t>Connected-vehicle-specific cybersecurity</t>
  </si>
  <si>
    <t>Explicit vehicle-specific obligations such as R155/R156, CSMS/SUMS, OTA security, vulnerability management, incident notification, remote-service control or secure data deletion.</t>
  </si>
  <si>
    <t>Digital_Exposure_Code 0</t>
  </si>
  <si>
    <t>None visible</t>
  </si>
  <si>
    <t>No visible digital/data/connected vehicle exposure.</t>
  </si>
  <si>
    <t>Digital_Exposure_Code 1</t>
  </si>
  <si>
    <t>Basic electronic or technical elements only.</t>
  </si>
  <si>
    <t>Digital_Exposure_Code 2</t>
  </si>
  <si>
    <t>Location data, diagnostics, online support, cameras, terminals, data interfaces or operational data.</t>
  </si>
  <si>
    <t>Digital_Exposure_Code 3</t>
  </si>
  <si>
    <t>Telematics, remote access, cloud/API, OTA, fleet platform, police/blue-light data systems or sensitive operational data.</t>
  </si>
  <si>
    <t>Key rule</t>
  </si>
  <si>
    <t>Do not over-code cybersecurity</t>
  </si>
  <si>
    <t>GPS, diagnostics, online support or software updates without security obligations should be coded as 1 or 2, not 3 or 4.</t>
  </si>
  <si>
    <t>Record identity</t>
  </si>
  <si>
    <t>Use one stable procurement identifier</t>
  </si>
  <si>
    <t>For Czech tenders, use NEN_ID as Platform_Tender_ID and put internal ČJ/reference numbers into Internal_Reference_IDs.</t>
  </si>
  <si>
    <t>Metric</t>
  </si>
  <si>
    <t>Formula / Value</t>
  </si>
  <si>
    <t>Notes</t>
  </si>
  <si>
    <t>Total rows</t>
  </si>
  <si>
    <t>All preloaded CZ/UK/NL records.</t>
  </si>
  <si>
    <t>Czech NEN rows</t>
  </si>
  <si>
    <t>Primary Czech sample.</t>
  </si>
  <si>
    <t>UK comparator rows</t>
  </si>
  <si>
    <t>Comparator sample.</t>
  </si>
  <si>
    <t>NL comparator rows</t>
  </si>
  <si>
    <t>Rows coded as explicit cybersecurity (3 or 4)</t>
  </si>
  <si>
    <t>Based on Explicit_CV_Cybersecurity_Code.</t>
  </si>
  <si>
    <t>Rows with any explicit keyword cybersecurity</t>
  </si>
  <si>
    <t>Based on keyword matrix and explicit code.</t>
  </si>
  <si>
    <t>Average keyword score</t>
  </si>
  <si>
    <t>Only rows with score &gt; 0.</t>
  </si>
  <si>
    <t>Rámcová dohoda na dodávky automobilů osobních policejních speciálních pro přepravu prezidenta ČR a chráněných osob</t>
  </si>
  <si>
    <t>Special police passenger cars: VIP limousines, ballistic VIP limousine and SUV for transport of President/protected persons; vehicle ICT includes navigation, eCall/infotainment Online/Care Connect, camera/radiostation equipment.</t>
  </si>
  <si>
    <t>050 zadávací dokumentace RD.doc/pdf; 055 změna zadávacích podmínek č. 1.pdf; 059 změna zadávacích podmínek č. 2.pdf; 062 vysvětlení/změna zadávacích podmínek č. 3.pdf</t>
  </si>
  <si>
    <t>Core tender documentation, technical specification and changes/explanation provided and reviewed; no signed final contract/award result document provided in chat.</t>
  </si>
  <si>
    <t>ICT/connected vehicle features present, but no explicit vehicle cybersecurity requirement</t>
  </si>
  <si>
    <t>No</t>
  </si>
  <si>
    <t>Yes</t>
  </si>
  <si>
    <t>ZD p.6: navigation updates; eCall/infotainment Online/Care Connect and access to needed data. Tech spec p.31/40: navigation with free updates 5 years. Tech spec p.38-40: vehicle camera/radiostation equipment and documentation. ZD p.7: NEN offer encryption only, not vehicle cyber.</t>
  </si>
  <si>
    <t>No R155/R156, CSMS/SUMS, vulnerability handling, security updates, OTA security, incident reporting, data deletion or service deactivation requirements found.</t>
  </si>
  <si>
    <t>Connected/digital vehicle elements are visible, but the reviewed documents do not impose explicit connected-vehicle cybersecurity obligations.</t>
  </si>
  <si>
    <t>Codes treat navigation updates and connected services as technical/digital exposure only; procurement-platform encryption and confidentiality are not counted as vehicle cybersecurity requirements.</t>
  </si>
  <si>
    <t>HSUL-1503/ÚE-2024; HSUL-1503-4/ÚE-2024; HSUL-1503-8/ÚE-2024; HZSUX00BCQSQ; HZSUX00BE9PQ; rámcová smlouva 2024099</t>
  </si>
  <si>
    <t>Truck and passenger vehicle tyres and tyre-service work for HZS vehicles</t>
  </si>
  <si>
    <t>Complete for supplied files; no explanation document content supplied</t>
  </si>
  <si>
    <t>No cyber/digital vehicle exposure</t>
  </si>
  <si>
    <t>Specifikační listina p.1-3: tyres, tyre-service, mobile service; contract p.5: warranty/reclamation; award p.2: supplier has branches and mobile service</t>
  </si>
  <si>
    <t>Cybersecurity, software updates, OTA, telematics, diagnostics, remote access, cloud/API, GPS/location data, R155/R156, CSMS/SUMS, data deletion/deactivation not found</t>
  </si>
  <si>
    <t>Vehicle-related tyre procurement with no visible connected-vehicle cybersecurity requirements.</t>
  </si>
  <si>
    <t>Supplier-risk marker is only indirect through qualification, sanctions declaration and certified-test requirements; mobile service means tyre-service vehicle, not mobile application.</t>
  </si>
  <si>
    <t>ZSMV-00390/VZ-2024; ZSMV-00390-3/VZ-2024; ZSMV-00390-6/VZ-2024; ZSMV-00390-14/VZ-2024</t>
  </si>
  <si>
    <t>VW passenger and utility vehicle repairs, servicing, diagnostics, ECU updates and service records</t>
  </si>
  <si>
    <t>Zadávací dokumentace; návrh smlouvy; technická specifikace/cenová nabídka XLSX; seznam oprávněných osob; kvalifikace; seznam poddodavatelů; střet zájmů; sankce; další požadavky; poddodavatel; kontrolní protokol; výběr dodavatele; vysvětlení ZD č. 1</t>
  </si>
  <si>
    <t>Complete for uploaded tender package; signed final contract not provided</t>
  </si>
  <si>
    <t>ICT/software diagnostic service exposure without explicit cybersecurity requirement</t>
  </si>
  <si>
    <t>ZD p.7-8 requires diagnostic information system, ECU updates, vehicle data entry, electronic service book; contract draft arts. 5.1, 7.3, 7.12 uses VIN, tachometer, fuel state, electronic service book and diagnostic system; ZD/sanctions forms address subcontractors/sanctions</t>
  </si>
  <si>
    <t>No cyber security, vulnerability handling, security updates, OTA, telematics, remote access, cloud/API, R155/R156, CSMS/SUMS, incident handling, data deletion or service deactivation</t>
  </si>
  <si>
    <t>Procurement contains vehicle diagnostics, ECU update and operational/service data exposure, but no visible connected-vehicle cybersecurity obligations.</t>
  </si>
  <si>
    <t>False hits such as OTA/API appear only as substrings/XML artefacts and were not coded. Supplier risk coded indirect due to subcontractor, sanctions and certification controls, not cybersecurity.</t>
  </si>
  <si>
    <t>KRPP-143385/ČJ-2023-0300VZ; KRPP-143385-6/ČJ-2023-0300VZ; KRPP-143385-9/ČJ-2023-0300VZ; KRPP-143385-12/ČJ-2023-0300VZ; KRPP-143385-20/ČJ-2023-0300VZ; KRPP-143385-21/ČJ-2023-0300VZ</t>
  </si>
  <si>
    <t>Original spare parts for Škoda and Volkswagen police vehicles; service/repair supply context</t>
  </si>
  <si>
    <t>ZADÁVACÍ DOKUMENTACE ND - 2023_sig.pdf; Přílohy č. 1-10 including price lists, draft contracts, declarations; Smlouva VW anonym.pdf; Smlouva Skoda anonym.pdf; Vysvětlení zadávací dokumentace č. 1-2</t>
  </si>
  <si>
    <t>Provided package includes tender documentation, annexes, explanations, price lists and anonymised contracts; no obvious missing core document in provided files</t>
  </si>
  <si>
    <t>Digital ordering/catalogue interface and VIN ordering present, but no cybersecurity or connected-vehicle cybersecurity requirement</t>
  </si>
  <si>
    <t>ZD p.3: objednávkový systém with online access, real-time stock status, ETKA 8.7+, ordering by VIN; contracts Art. VII: confidentiality of information; Annex 8 sanctions/supplier declarations</t>
  </si>
  <si>
    <t>No kybernetická bezpečnost, R155/R156, CSMS/SUMS, OTA, telematics, GPS/location data, software/security updates, data deletion or service deactivation</t>
  </si>
  <si>
    <t>Procurement is for spare parts supply with online ordering/catalogue and supplier compliance controls; no visible connected-vehicle cybersecurity obligation.</t>
  </si>
  <si>
    <t>Coded supplier-risk only as general sanctions/conflict/subcontractor compliance, not cybersecurity supplier-risk. Online access is to supplier ordering system, not vehicle remote access.</t>
  </si>
  <si>
    <t>Smlouva č. 35748/2023-4854; VÚ 4854/485402</t>
  </si>
  <si>
    <t>T815 FORCE 6X6 VALNÍK warranty/service inspection</t>
  </si>
  <si>
    <t>Oznámení o výběru dodavatele.pdf; Příloha č. 1 Smluvní vzor.docx; Výzva k podání nabídky včetně zadávací dokumentace.pdf</t>
  </si>
  <si>
    <t>Provided core notice, tender call and contract template reviewed; no separate technical service manual or full NEN attachment set visible</t>
  </si>
  <si>
    <t>General vehicle service/diagnostic marker only; no cyber requirement</t>
  </si>
  <si>
    <t>Výzva p.2 and smluvní vzor čl.5: diagnostic/maintenance means approved by manufacturer; Tatra authorised service required; p.4 mentions risk evaluation of contract fulfilment</t>
  </si>
  <si>
    <t>Cybersecurity, software updates, OTA, telematics, remote access, GPS/location/operational data, R155/R156, CSMS/SUMS, incident handling, data deletion/deactivation</t>
  </si>
  <si>
    <t>Service inspection tender contains only general diagnostic/authorised-service requirements and no connected-vehicle cybersecurity obligations.</t>
  </si>
  <si>
    <t>Do not code diagnostics alone as remote diagnostics; risk wording is general contractual/supplier-risk, not cybersecurity.</t>
  </si>
  <si>
    <t>N006/23/V00018119; VZ 4190; 419000</t>
  </si>
  <si>
    <t>TATRA T810 military vehicles; scheduled service TÚ2; engine diagnostics</t>
  </si>
  <si>
    <t>Výzva k podání nabídky včetně zadávací dokumentace.pdf; Oznámení o výběru dodavatele.pdf; Návrh objednávky.doc</t>
  </si>
  <si>
    <t>Provided procurement attachments reviewed; no separate explanations found in uploaded files</t>
  </si>
  <si>
    <t>Low digital marker only; no cybersecurity requirement</t>
  </si>
  <si>
    <t>Výzva p.2 and Návrh objednávky: service TÚ2, VIN, mileage, engine diagnostics; Výzva p.4 requires qualification documents</t>
  </si>
  <si>
    <t>No cyber security, vulnerability, software update, OTA, telematics, remote access, cloud/API, GPS/location, R155/R156, CSMS/SUMS, incident, data deletion/deactivation</t>
  </si>
  <si>
    <t>Procurement is routine maintenance of TATRA T-810 vehicles with engine diagnostics and mileage/VIN data only; no connected-vehicle cybersecurity obligations visible.</t>
  </si>
  <si>
    <t>Engine diagnostics treated as general digital/technical vehicle marker, not remote diagnostics or cybersecurity. Supplier qualification treated as indirect supplier-risk/certification marker only.</t>
  </si>
  <si>
    <t>MV-103195-3/PO-PSM-2023; MV-103195-6/PO-PSM-2023; MV-103195-9/PO-PSM-2023; MV-103195-11/PO-PSM-2023; MV-103195-23/PO-PSM-2023; MV-103195-24/PO-PSM-2023; HSKV-1332/2023-EKO; Z2023-050529</t>
  </si>
  <si>
    <t>Special off-road SxS fire-rescue vehicles including accessories, warning equipment, trailer and firefighting module</t>
  </si>
  <si>
    <t>2023_11_02-ZP_RD_SxS_EP.pdf; 2023_11_24-Vysvetleni_ZD_c_1_EP.pdf; 2023_12_07-Vysvetleni_ZD_c_2_EP.pdf; 2023_12_18-Vysvetleni_ZD_c_3_EP.pdf; 2023_11_02-Priloha_c_1_RD-Zavazny_vzor_PS_SxS.docx; 2023_11_02-Priloha_c_2_ZP-RD_SxS.docx; 2023_11_02-Priloha_c_3_ZP-Kalkulace_SxS.xlsx; 53_2024_UE_AN.pdf; 2024_02_28-Pisemna_zprava_zadavatele_EP.pdf</t>
  </si>
  <si>
    <t>Complete for uploaded package; XLSX price calculation not text-extracted but no visible cyber-relevant content from available documents</t>
  </si>
  <si>
    <t>Low digital exposure; no connected-vehicle cybersecurity requirement</t>
  </si>
  <si>
    <t>53_2024_UE_AN.pdf pp.14-16: electronic fuel injection, digital instrument, odometer/motohours; p.21 local winch remote control; ZP p.9 NEN offer encryption only, not vehicle cyber</t>
  </si>
  <si>
    <t>R155/R156, CSMS/SUMS, OTA/software/security updates, telematics, GPS/location, cloud/API/mobile app, vulnerability/incident, data deletion/deactivation</t>
  </si>
  <si>
    <t>Procurement concerns off-road SxS vehicles with limited local electronic features and operational readouts; no explicit connected-vehicle cybersecurity obligations found</t>
  </si>
  <si>
    <t>Supplier/subcontractor and sanctions controls present; treated as non-cyber supplier-risk/certification marker. Offer encryption is tender-process security, not vehicle cybersecurity.</t>
  </si>
  <si>
    <t>Č.j. PPR-32331-50/ČJ-2017-990640; PPR-32331-55/ČJ-2017-990640; PPR-32331-59/ČJ-2017-990640; PPR-32331-62/ČJ-2017-990640</t>
  </si>
  <si>
    <t>JID PCR04ETRpo95339667; KRPU-65886-2/ČJ-2023-0400VZ; MV-163083-50/OSM-2019; MV-163083-56/VZ-2019; 911003633.00.000 / MV-163083-50/OSM-2019/4400; RS ID 22500037/verze 24126717</t>
  </si>
  <si>
    <t>1 ŠKODA Superb Style 2.0 TSI 200 kW 7 DSG 4x4 passenger vehicle</t>
  </si>
  <si>
    <t>Uploaded docs include implementing purchase contract, framework award report and registry extract; framework agreement and technical specification/appendices are not provided.</t>
  </si>
  <si>
    <t>General vehicle technical marker only; no connected-vehicle cyber or digital requirements</t>
  </si>
  <si>
    <t>No R155/R156, CSMS/SUMS, software/OTA, telematics, remote diagnostics/access, cloud/API, GPS/location/operational data or data deletion/deactivation obligations.</t>
  </si>
  <si>
    <t>No CV-cyber requirement visible in reviewed package; only general vehicle technical supply and supplier eligibility/service capability references.</t>
  </si>
  <si>
    <t>Contract clause 5.5 mentions unspecified 'ochrana informací' and clause 6.7 personal-data law, but without cyber/vehicle-digital obligation; not coded as cybersecurity.</t>
  </si>
  <si>
    <t>Contract p2: 1 ŠKODA Superb Style vehicle; report p2: excluded supplier lacked basic/professional documents and required service network; no cyber or digital technical specs visible</t>
  </si>
  <si>
    <t>ID smlouvy 22419973; ID verze 24042781; č. smlouvy 904070316.00.000; ČJ KRPP-34592-10/ČJ-2023-0300VZ-INV; RD MV-67470-90/OSM-2019; zadávací řízení MV-67470-21/OSM-2019</t>
  </si>
  <si>
    <t>SDP v komerčním provedení Kodiaq s VRZ; Část A</t>
  </si>
  <si>
    <t>17 ŠKODA KODIAQ Ambition 2.0 TSI 140 kW 7 DSG 4x4 vehicles with VRZ warning equipment</t>
  </si>
  <si>
    <t>Partial: supplied registry extract and purchase contract with annexes reviewed; referenced framework agreement, zadávací documentation and RD technical annexes not supplied</t>
  </si>
  <si>
    <t>Low digital exposure with ICT markers only; no cybersecurity requirement</t>
  </si>
  <si>
    <t>No visible cyber security, vulnerability, security update, OTA, telematics, remote diagnostics, cloud/API, GPS/location data, R155/R156, CSMS/SUMS, data deletion or deactivation clauses</t>
  </si>
  <si>
    <t>Purchase contract shows local vehicle ICT features only; no connected-vehicle cybersecurity or data-handling requirements are visible.</t>
  </si>
  <si>
    <t>Remote central locking and Bluetooth/USB were treated as low local digital exposure, not telematics or remote access services; missing framework documents may contain further requirements but were not reviewed.</t>
  </si>
  <si>
    <t>KS p.10 lists autorádio, Bluetooth HF, USB, imobilizér and central remote locking; KS p.3 specifies ŠKODA KODIAQ with VRZ</t>
  </si>
  <si>
    <t>KRPS-68432- /Čj-2023-0100AO-VZ; MV-67470-90/OSM-2019; MV-67470-21/OSM-2019</t>
  </si>
  <si>
    <t>Dodávky osobních silničních vozidel v komerčním provedení Část A; ŠKODA KODIAQ 2.0 TSI 140 kW 7 DSG 4x4</t>
  </si>
  <si>
    <t>Partial: uploaded contract PDF reviewed; referenced framework agreement, award/ZD annexes and full tender documentation not provided</t>
  </si>
  <si>
    <t>ICT vehicle equipment present; no cybersecurity or connected-vehicle cyber requirement</t>
  </si>
  <si>
    <t>p.10 technical parameters list integrated radio, Bluetooth handsfree, USB and remote central locking; p.2-3 identify vehicle delivery scope</t>
  </si>
  <si>
    <t>No cybersecurity, vulnerability, software/security update, OTA, telematics, diagnostics, GPS/location/operational data, R155/R156, CSMS/SUMS, data deletion or service deactivation items visible</t>
  </si>
  <si>
    <t>Only basic in-vehicle ICT equipment is visible; no explicit cybersecurity, telematics, OTA, data-management or UNECE cyber/software-update requirements</t>
  </si>
  <si>
    <t>Based only on uploaded PDF; 'bezpečnostní šrouby kol' on p.10 treated as physical wheel-security accessory, not cybersecurity; cited framework agreement not available</t>
  </si>
  <si>
    <t>N006-23-V00008603.pdf: purchase contract, technical parameters, delivery points, representation</t>
  </si>
  <si>
    <t>KRPT-63918-3/ČJ-2023-0700AO; JID:PCR07ETRpo93186777; MV-67470-90/OSM-2019; MV-67470-21/OSM-2019</t>
  </si>
  <si>
    <t>20 Škoda Kodiaq 2.0 TSI 140 kW 7 DSG 4x4 Ambition TOP vehicles incl. special warning light equipment</t>
  </si>
  <si>
    <t>https://nen.nipez.cz/verejne-zakazky/detail-zakky/N006-23-V00008598/vysledek</t>
  </si>
  <si>
    <t>KS Škoda Kodiaq část A - Kupní smlouva_KŘP Moravskoslezského kraje_KODIAQ_část A ke zveřejnění.pdf</t>
  </si>
  <si>
    <t>Document reviewed: purchase contract with appendices; referenced framework agreement and procurement documentation not provided</t>
  </si>
  <si>
    <t>Digital marker only; no cybersecurity requirement</t>
  </si>
  <si>
    <t>Příloha č. 1 p.10: integrated radio, HF Bluetooth handsfree, USB accessible from rear seats, central locking with remote controls; p.2–3 vehicle technical specification</t>
  </si>
  <si>
    <t>No cyber security, R155/R156, CSMS/SUMS, software update, OTA, telematics, GPS/location data, diagnostics, cloud/API, data deletion/deactivation requirements visible</t>
  </si>
  <si>
    <t>Only general vehicle digital equipment is visible; no connected-vehicle cybersecurity requirement found in reviewed document.</t>
  </si>
  <si>
    <t>Remote central locking coded as indirect remote-access marker only; not treated as cybersecurity or telematics requirement.</t>
  </si>
  <si>
    <t>42 road vehicles ŠKODA KODIAQ 2.0 TSI 140 kW 7 DSG 4x4 with special warning equipment</t>
  </si>
  <si>
    <t>KRPH-27236/ČJ-2023-0500NE-VZ; MV-67470-90/OSM-2019; MV-67470-21/OSM-2019; 904070102.00.000; registr smluv ID 22326145/verze 23944269</t>
  </si>
  <si>
    <t>13 Škoda Kodiaq 2.0 TSI passenger road vehicles with hidden warning equipment/VRZ</t>
  </si>
  <si>
    <t>AN_KS_SKODA_c_A1_13ks_VRZ_sig.pdf; registr_smluv_smlouva_23944269.pdf</t>
  </si>
  <si>
    <t>Provided contract, technical parameters annex and registry extract reviewed; underlying framework agreement and full NEN tender documentation not provided.</t>
  </si>
  <si>
    <t>General vehicle digital/technical markers only; no cyber requirement</t>
  </si>
  <si>
    <t>No references to cybersecurity, vulnerabilities, software/security updates, OTA, telematics, diagnostics, GPS/location data, cloud/API, R155/R156, CSMS/SUMS, incidents, data deletion or service deactivation.</t>
  </si>
  <si>
    <t>Procurement is for standard passenger vehicles with limited digital equipment; no connected-vehicle cybersecurity requirement identified.</t>
  </si>
  <si>
    <t>KRPT-224485/ČJ-2022-0700VZ; KRPT-224485-16/ČJ-2022-0700VZ; KRPT-224485-20/ČJ-2022-0700VZ</t>
  </si>
  <si>
    <t>Towing and storage services for vehicles up to 3.5 t, including motorcycles and parts</t>
  </si>
  <si>
    <t>Výzva k podání nabídek; Příloha č. 1 - Návrh smlouvy o dílo odtahy; příloha číslo 1 smlouvy - protokol o předání vozidla k odtahu vozidla; Příloha č. 2 - čestné prohlášení; Oznámení o výběru</t>
  </si>
  <si>
    <t>Uploaded tender, contract, protocol, declaration and award documents reviewed; no separate explanation document uploaded despite Explanations_URL</t>
  </si>
  <si>
    <t>No CV cybersecurity requirement; low operational vehicle-data handling only</t>
  </si>
  <si>
    <t>Contract III.4 requires evidence system archived 5 years; invoice/protocol require vehicle ID, route and handover data; protocol fields include VIN, tachometer, owner/operator, place/date/time</t>
  </si>
  <si>
    <t>No cyber/information-security, R155/R156, CSMS/SUMS, OTA/software update, telematics, remote access, cloud/API, data deletion requirements</t>
  </si>
  <si>
    <t>Vehicle towing service package contains operational vehicle records but no connected-vehicle cybersecurity or telematics requirements.</t>
  </si>
  <si>
    <t>Supplier declarations cover sanctions/basic qualification only; safety rules are general technical/occupational safety, not cybersecurity.</t>
  </si>
  <si>
    <t>MV-162572-1/VZ-2022; MVCRX06OAOYP; MV-162572-22/VZ-2022; MVCRX06TODNY</t>
  </si>
  <si>
    <t>Passenger road vehicles, commercial configuration, diesel, part 7</t>
  </si>
  <si>
    <t>ZD k RD na komerční vozidla_část 7.docx/pdf; Příloha č. 1 Krycí list; Příloha č. 2 Závazný návrh rámcové dohody; Příloha č. 3 ČP základní způsobilost; Příloha č. 4 Seznam významných dodávek; Příloha č. 5 ČP k sankcím; Příloha č. 6 Tabulka pro hodnocení nabídek.xlsx; Písemná zpráva zadavatele.pdf</t>
  </si>
  <si>
    <t>Core tender, framework, technical-specification, forms, evaluation table and award report provided; explanations not provided as separate documents</t>
  </si>
  <si>
    <t>Digital vehicle features present without cybersecurity requirements</t>
  </si>
  <si>
    <t>Příloha č. 2 RD/Příloha č. 3 technická specifikace: vestavěná GPS navigace; handsfree Bluetooth; USB port; eCall-volání při nehodě; RD čl. 16 only classified-info/GDPR handling</t>
  </si>
  <si>
    <t>No cyber-security, vulnerability, security update, OTA, R155/R156, CSMS/SUMS, cloud/API, remote diagnostics/access, app, data deletion or service deactivation requirements</t>
  </si>
  <si>
    <t>CV digital markers exist, but no explicit connected-vehicle cybersecurity obligation is visible</t>
  </si>
  <si>
    <t>Treat GPS/eCall as technical digital exposure only; supplier-risk score reflects general qualification/subcontractor/sanctions controls, not cyber supplier-risk controls</t>
  </si>
  <si>
    <t>MV-102243-1/VZ-2022; MV-102243-32/VZ-2022; MV-102243-36/VZ-2022; MV-102243-6/VZ-2022; MV-102243-7/VZ-2022; MV-102243-16/VZ-2022; MV-102243-39/VZ-2022; MV-102243-46/VZ-2022; MV-102243-51/VZ-2022; MV-102243-56/VZ-2022</t>
  </si>
  <si>
    <t>Passenger vehicles in police configuration for traffic police; special police equipment including VRZ, radiostation preparation, LZZ II preparation, OBD II reading, GPS/GLONASS and carPC wiring</t>
  </si>
  <si>
    <t>ZD main DOCX/PDF; cover sheet; RD draft and signed RD; annexes 1,2,4,5,6; explanations 1-3; addenda 1-4; written report</t>
  </si>
  <si>
    <t>Mostly complete; uploaded XLSX evaluation table was not accessible for text review</t>
  </si>
  <si>
    <t>Connected/digital vehicle equipment present; no explicit cybersecurity requirement</t>
  </si>
  <si>
    <t>RD p.29 lists LZZ II; RD pp.55-56 requires LZZ II mounting, OBD II, carPC, Ethernet, GPS/GSM/Wifi antenna and permanent ECU data reading; RD p.50 specifies GPS receiver; Vysvětlení č.2 p.3 discusses ECU/START-STOP modification; written report p.3 names LZZ II subcontracted scope :contentReference[oaicite:0]{index=0} :contentReference[oaicite:1]{index=1} :contentReference[oaicite:2]{index=2}</t>
  </si>
  <si>
    <t>No R155/R156, CSMS/SUMS, vulnerability management, security updates, OTA, cloud/API security, incident reporting, data deletion or service deactivation found</t>
  </si>
  <si>
    <t>High digital exposure via police LZZ II, OBD II, GPS/GLONASS, carPC/cameras and radio integration, but cybersecurity obligations are not visibly specified</t>
  </si>
  <si>
    <t>MV-67470-21/OSM-2019; MV-67470-90/OSM-2019; MV-67470-98/OSM-2019; MV-67470-120/OSM-2019</t>
  </si>
  <si>
    <t>Five Škoda Kodiaq passenger road vehicles in commercial configuration</t>
  </si>
  <si>
    <t>208_2021.pdf Kupní smlouva incl. Příloha 1 Technické parametry and Příloha 2 výdejní místa :contentReference[oaicite:0]{index=0}</t>
  </si>
  <si>
    <t>Partial: purchase contract and two annexes visible; referenced framework agreement and full procurement documentation not provided</t>
  </si>
  <si>
    <t>General vehicle digital marker only; no cyber requirement</t>
  </si>
  <si>
    <t>Příloha 1 p.10 lists immobilizer, central locking with remote control, integrated radio, RF Bluetooth handsfree, USB</t>
  </si>
  <si>
    <t>No cyber security, software update, OTA, telematics, GPS/data, R155/R156, CSMS/SUMS, data deletion/deactivation requirements</t>
  </si>
  <si>
    <t>No connected-vehicle cybersecurity requirements visible in the provided contract; only ordinary vehicle electronics/accessories are listed</t>
  </si>
  <si>
    <t>Remote key/Bluetooth/USB are treated as low digital exposure, not telematics or cybersecurity obligations</t>
  </si>
  <si>
    <t>KRPA-59139-4/ČJ-2021-0000VZ-H; KRPA-59139-21/ČJ-2021-0000vz-H; PCR00ETRpo77362560; PCR00ETRpo77899949</t>
  </si>
  <si>
    <t>Provádění servisu a oprav služebních dopravních prostředků (policejních) Krajského ředitelství policie hl. m. Prahy na období let 2021 - 2024</t>
  </si>
  <si>
    <t>Police passenger vehicles; 451 SDP; scheduled service, repairs, accident repairs, STK/emissions; includes diagnostic equipment and service-history data.</t>
  </si>
  <si>
    <t>59139-4 Zadávací podmínky; 59139-4-1 Krycí list; 59139-4-3 Návrh smlouvy; 59139-4-4 Kvalita služeb a ND; 59139-8 Vysvětlení; 59139-21 Písemná zpráva; 59139-4-2 Nabídka hodin.xlsx uploaded but not text-reviewed</t>
  </si>
  <si>
    <t>Core tender, contract, annex, explanation and award/report reviewed; pricing xlsx not accessible in parsed text; no additional NEN HTML beyond supplied metadata reviewed.</t>
  </si>
  <si>
    <t>Vehicle diagnostics/software and operational data present; no cybersecurity requirement</t>
  </si>
  <si>
    <t>Zadávací podmínky 2.7.3.9: diagnostic devices for reading ECU faults and storing measured data; Návrh smlouvy 4.6-4.7: manufacturer-updated diagnostic system and service history kept 2 years; 5.4.4 gives GPS coordinates for distance.</t>
  </si>
  <si>
    <t>No cyber/information-security obligations; no R155/R156, CSMS/SUMS, OTA, telematics, remote access, cloud/API, vulnerability handling, security updates, data deletion or service deactivation.</t>
  </si>
  <si>
    <t>Service/repair procurement includes diagnostics, manufacturer updates to diagnostic system, GPS location marker and service-history/vehicle data, but no explicit connected-vehicle cybersecurity requirement.</t>
  </si>
  <si>
    <t>Supplier controls are operational only: certified parts, insurance, service-centre requirements and subcontractor liability; not coded as cyber supplier risk.</t>
  </si>
  <si>
    <t>ZSM-70/OVZ-2021; ZSM-70-3/OVZ-2021; ZSM-70-16/OVZ-2021; ZSM-70-17/OVZ-2021; ZSM-70-19/OVZ-2021</t>
  </si>
  <si>
    <t>VW passenger and utility vehicle repair, warranty/post-warranty service, diagnostics, service records and control-unit updates</t>
  </si>
  <si>
    <t>ZD; draft contract; price table XLSX; authorised persons; qualification declaration; subcontractor list; §37 declaration; exclusion notice; award notice; signed contract PDF</t>
  </si>
  <si>
    <t>Document set in chat covers ZD, annexes, award/exclusion and contract; Explanations URL exists but no explanation document was provided in chat</t>
  </si>
  <si>
    <t>ICT/software diagnostic exposure without explicit cybersecurity requirement</t>
  </si>
  <si>
    <t>ZD pp.6-7 requires diagnostic information-system access, diagnostics, control-unit updates, vehicle data/info and electronic service book :contentReference[oaicite:0]{index=0}; contract p.9 requires diagnostic equipment, electronic service-book entry and manufacturer service actions :contentReference[oaicite:1]{index=1}; contract p.6 records VIN, odometer, fuel and condition data :contentReference[oaicite:2]{index=2}</t>
  </si>
  <si>
    <t>No visible cyber security, vulnerability, secure-update, OTA, R155/R156, CSMS/SUMS, incident-response, data deletion or service-deactivation requirements</t>
  </si>
  <si>
    <t>Procurement includes vehicle diagnostics, control-unit updates and operational vehicle data, but no explicit cybersecurity obligations.</t>
  </si>
  <si>
    <t>Scored software update as technical because of “aktualizaci řídících jednotek”; operational data based on VIN/tachometer/fuel/vehicle-condition and diagnostic-system data; supplier-risk item is indirect via subcontractor/qualification controls only.</t>
  </si>
  <si>
    <t>ZSM-116/OVZ-2020; ZSM-116-3/OVZ-2020; ZSM-116-9/OVZ-2020; ZSM-116-38/OVZ-2020; internal ZD shows N006/19/V00031255</t>
  </si>
  <si>
    <t>Passenger-car repair and service for Škoda fleet; warranty/post-warranty service, diagnostics, service books, recalls</t>
  </si>
  <si>
    <t>Výzva; Zadávací dokumentace and upravená verze; závazný návrh smlouvy; cenová tabulka; seznam osob; čestná prohlášení; seznam poddodavatelů; vysvětlení č.1; příloha č.5 vehicle list; vyloučení; signed contract</t>
  </si>
  <si>
    <t>Complete for uploaded package; no separate cybersecurity, telematics, OTA, cloud, API or R155/R156 specification visible</t>
  </si>
  <si>
    <t>ICT/service-diagnostics present but no explicit cybersecurity requirement</t>
  </si>
  <si>
    <t>ZD p4 sections 4.6-4.9: diagnostic work, diagnostic equipment, electronic service book, manufacturer service measures/recalls; Contract p6 section 5.1: job card includes VIN, odometer, fuel, condition; Contract p9 sections 7.10-7.12: insurance, subcontractor liability, diagnostic information system</t>
  </si>
  <si>
    <t>No cyber security; vulnerability handling; security/software updates; OTA; telematics; remote diagnostics/access; cloud/API/GPS; R155/R156 CSMS/SUMS; incident response; data deletion/service deactivation</t>
  </si>
  <si>
    <t>Repair/service procurement contains routine digital service markers and operational vehicle data, but no visible connected-vehicle cybersecurity obligations.</t>
  </si>
  <si>
    <t>Do not treat electronic price list access, electronic service book, diagnostic equipment, recalls, insurance or subcontractor controls as cybersecurity requirements.</t>
  </si>
  <si>
    <t>MV-67470-21/OSM-2019; MV-67470-22/OSM-2019; MV-67470-36/OSM-2019; MV-67470-6/OSM-2019; MVCRX04LUACQ; MVCRX04LUAN7; MVCRX04ODBEZ</t>
  </si>
  <si>
    <t>Framework agreement for passenger road vehicles in commercial configuration; Parts A-B-C passenger road vehicles with optional police equipment/VRZ</t>
  </si>
  <si>
    <t>Passenger M1 road vehicles; optional police warning equipment VRZ; Bluetooth handsfree, USB, integrated radio, remote key locking</t>
  </si>
  <si>
    <t>ZD komerční auta_platná_21_8_2019.docx; Přílohy 1-9 final; Rámcové dohody A/B/C final; Slouceno.pdf; Doplnění a změna ZD č. 4.pdf; earlier TS/RD files</t>
  </si>
  <si>
    <t>Tender documentation, technical specifications, framework drafts and selected explanations provided; result/award file not provided</t>
  </si>
  <si>
    <t>Low digital exposure; no visible connected-vehicle cybersecurity requirement</t>
  </si>
  <si>
    <t>TS Parts A-C item 31-33: integrated radio, Bluetooth handsfree, USB; RD Art. 13: classified-information clause; Art. 14: subcontractor responsibility; Art. 9: insurance; explanations mention model/technology changes</t>
  </si>
  <si>
    <t>No R155/R156, CSMS/SUMS, OTA/software updates, telematics, GPS/location data, cloud/API, vulnerability or cyber incident handling</t>
  </si>
  <si>
    <t>Documents show basic vehicle digital equipment and supplier/insurance controls, but no connected-vehicle cybersecurity obligations.</t>
  </si>
  <si>
    <t>HSLI-2482/KŘ-EKO-P-2018; HSLI-2482-10/KŘ-EKO-P-221-2018</t>
  </si>
  <si>
    <t>Service/repair of 39 Škoda passenger vehicles</t>
  </si>
  <si>
    <t>Smlouva o dílo - anonymizovaná.pdf, 7 pages :contentReference[oaicite:0]{index=0}</t>
  </si>
  <si>
    <t>Only uploaded contract reviewed; other NEN tender ZIP/DOCX contents not provided</t>
  </si>
  <si>
    <t>No visible connected-vehicle cybersecurity requirement</t>
  </si>
  <si>
    <t>Contract p.2: ordinary repairs/service of 39 Škoda vehicles; p.4: confidentiality clause only; p.7 vehicle list</t>
  </si>
  <si>
    <t>No R155/R156, CSMS/SUMS, telematics, OTA, software-update, diagnostics, GPS, API/cloud, data deletion, or service deactivation requirements visible</t>
  </si>
  <si>
    <t>Uploaded contract is a conventional vehicle service/repair agreement with no explicit cybersecurity or connected-vehicle digital obligations.</t>
  </si>
  <si>
    <t>Confidentiality is general commercial/contractual confidentiality, not coded as cybersecurity. Electromechanical work and e-mail ordering are not treated as software, telematics, or remote-access requirements.</t>
  </si>
  <si>
    <t>ZSM-114/OVZ-2018; ZSM-114-2/OVZ-2018; ZSM-114-4/OVZ-2018; ZSM-114-8/OVZ-2018; ZSM-114-9/OVZ-2018</t>
  </si>
  <si>
    <t>Service contract for technical inspections, emissions measurements, evidentiary inspections and ADR inspections of road vehicles categories N1, N2, N3, M2, M3, O3 and T1</t>
  </si>
  <si>
    <t>2 Zadávací dokumentace-TK, emise.pdf; 2-1 Příloha č. 1 k ZD - Závazný návrh smlouvy TK, Emise.pdf; 2-1-1 Příloha č. 1 ke Smlouvě - Cenová tabulka.xlsx; 2-1-2 Příloha č. 2 Smlouvy-Seznam Oprávněných osob.pdf; 2-2 Příloha č. 2 k ZD- Čestné prohlášení o splnění kvalifikace.pdf; 4-0 Vysvětlení k Zadávací dokumentaci č. 1.pdf; 8-0 Rozhodnutí o výběru dodavatele.pdf; 9-0 Smlouva TK, Emise_.pdf</t>
  </si>
  <si>
    <t>Provided package appears complete for ZD, contract, attachments, clarification, award and pricing; signed contract PDF was image-only but visible page images were reviewed</t>
  </si>
  <si>
    <t>No visible connected-vehicle cybersecurity; ordinary vehicle inspection service with low digital administrative exposure</t>
  </si>
  <si>
    <t>ZD p3 s4.1: technical inspections, emissions, evidentiary inspections, ADR; Contract p3 s2.2: inspection/emission services and protocols; ZD p7-8 s8.5 and Contract p6 s6.5: subcontractor qualification/responsibility; Contract p7 s9: information publication/confidentiality only</t>
  </si>
  <si>
    <t>No cyber security, vulnerability, OTA/software update, telematics, remote diagnostics/access, cloud/API, GPS/location data, R155/R156, CSMS/SUMS, incident, data deletion or service deactivation requirements</t>
  </si>
  <si>
    <t>Procurement is for conventional technical inspection and emissions services; no explicit cybersecurity or connected-vehicle digital service obligations found.</t>
  </si>
  <si>
    <t>Do not treat NEN electronic submission, data boxes, email invoicing or statutory confidentiality as vehicle cybersecurity requirements.</t>
  </si>
  <si>
    <t>KRPA-13607-3/ČJ-2017-0000VZ-V; KRPA-13607-9/ČJ-2018-0000VZ-V; KRPA-13607-3/2018-0000VZ-V; PCR00ETRpo67393670; PCR00ETRpo67520628</t>
  </si>
  <si>
    <t>Armoured police wheeled vehicles OKV R/VOP 026; workshop service and repair</t>
  </si>
  <si>
    <t>13607-3 výzva.pdf; 13607-3-1 Specifikace vozidel.pdf; 13607-3-2 Cenová tabulka.xlsx; 13607-3-3 Návrh smlouvy.doc; 13607-9 Smlouva.PDF</t>
  </si>
  <si>
    <t>Partial: uploaded tender docs and signed contract reviewed; separate NEN explanations/result page contents not provided as files</t>
  </si>
  <si>
    <t>No cybersecurity; conventional repair with low diagnostic/operational-data exposure</t>
  </si>
  <si>
    <t>Výzva p.1-3: service/repairs and technical means; contract p.3-4: job sheet has RZ, km, PHM; price table: mechanical/diagnostic work</t>
  </si>
  <si>
    <t>No cyber/security, software update, OTA, telematics, remote access, cloud/API or R155/R156 items found</t>
  </si>
  <si>
    <t>Conventional OKV repair/service procurement; no explicit cybersecurity or connected-vehicle requirements</t>
  </si>
  <si>
    <t>Diagnostics is a workshop service category only; supplier-risk coding is indirect from subcontractor liability/qualification clauses</t>
  </si>
  <si>
    <t>MV-21007-3/VZ-2018; MV-21007-12/VZ-2018; MV-21007-17/VZ-2018; MV-21007-25/VZ-2018; MV-21007-28/VZ-2018; MV-21007-36/VZ-2018; MVCRX03UBM4N</t>
  </si>
  <si>
    <t>Passenger and police cars with radio installation, LZZ localization/recording equipment, GPS/GLONASS, service diagnostics and online service support</t>
  </si>
  <si>
    <t>Zadávací dokumentace včetně příloh.pdf; Příloha č. 1 Technická specifikace.pdf/docx; Příloha č. 1 Technická specifikace - Policejní výbava.pdf/docx; Příloha č. 2; Příloha č. 3 service lists/equipment; Příloha č. 4 spare parts; Příloha č. 5 RD; Příloha č. 6 VRZ; Příloha č. 7 criteria; explanations I-IV</t>
  </si>
  <si>
    <t>Uploaded procurement PDFs/DOCX reviewed; XLSX duplicates uploaded but not separately parsed where PDF equivalents existed; NEN HTML/result pages not re-opened</t>
  </si>
  <si>
    <t>Connected-vehicle digital/telematics exposure without explicit cybersecurity requirements</t>
  </si>
  <si>
    <t>Příloha č. 1 Policejní výbava p.6: mobile data terminal, GPS receiver, GPS/GLONASS RS232 localization system and LZZ; p.7: car PC, USB, RS232, LAN, PoE switch, video server; Příloha č. 3 Vybavení servisních pracovišť p.1: diagnostic devices, system updates, remote online diagnostic help; ZD p.13: online access to technical documentation/support</t>
  </si>
  <si>
    <t>No cyber/information-security clause; no vulnerability, security-update, OTA, R155/R156, CSMS/SUMS, incident-response, data-deletion or service-deactivation requirement</t>
  </si>
  <si>
    <t>Procurement contains substantial vehicle ICT, GPS/LZZ and service-diagnostic connectivity, but no visible cybersecurity requirement.</t>
  </si>
  <si>
    <t>Digital markers were coded only where visible in uploaded documents; GPS/LZZ and diagnostics are technical exposure, not cybersecurity obligations.</t>
  </si>
  <si>
    <t>RM6353</t>
  </si>
  <si>
    <t>UK-RM6353</t>
  </si>
  <si>
    <t>04 Výzva k podání nabídek; 04a Specifikační listina PDF/DOCX; 04b Návrh rámcové smlouvy; čestná prohlášení; 08 Oznámení o výběru; RS_2024099_nákl_pneu_pneuservis</t>
  </si>
  <si>
    <t>Č. j. MV-22324-12/VZ-2024; MV-22324-17/VZ-2024; MV-22324-23/VZ-2024; MV-22324-37/VZ-2024; MV-22324-39/VZ-2024; MVCRX07VELES; MVCRX07YQIQY; MVCRX07ZB1LW; MVCRX081U1DO; MVCRX0821F6X</t>
  </si>
  <si>
    <t>Passenger road vehicles category M1 limousines; part 1 standard commercial vehicles for management use</t>
  </si>
  <si>
    <t>ZD main DOCX/PDF; Krycí list XLSX; RD proposal and updated RD versions; signed RD MV_limuziny_cast 1_an.pdf; explanations 1 and 2; qualification/sanctions/subcontractor/public-functionary forms; written award report</t>
  </si>
  <si>
    <t>Uploaded part-1 procurement package reviewed, including XLSX; no missing uploaded document identified, but external NEN ZIP contents not independently fetched</t>
  </si>
  <si>
    <t>General information-security clause plus vehicle digital features; no connected-vehicle-specific cybersecurity requirement</t>
  </si>
  <si>
    <t>RD art.17 requires compliance for classified information and personal data; RD technical spec requires infotainment/navigation with lifetime map updates, Bluetooth/handsfree and USB-C; signed RD requires vehicle technical data inserted electronically into IS TP; sanctions and subcontractor clauses present</t>
  </si>
  <si>
    <t>No R155/R156, CSMS/SUMS, OTA, cybersecurity updates, vulnerability handling, telematics, remote diagnostics, API/cloud, mobile app, data deletion or service deactivation requirements found</t>
  </si>
  <si>
    <t>The package contains general information-security/data-protection obligations and limited digital/infotainment exposure, but no explicit connected-vehicle cybersecurity requirement.</t>
  </si>
  <si>
    <t>Navigation/map-update and remote-heater-control items coded only as indirect digital markers; airbag deactivation was not treated as service deactivation; supplier-risk code reflects sanctions/subcontractor/qualification provisions rather than cyber supply-chain risk.</t>
  </si>
  <si>
    <t>MV-66212-1/VZ-2024; MV-66212-5/VZ-2024; MV-66212-9/VZ-2024; MV-66212-14/VZ-2024; MV-66212-16/VZ-2024; MV-66212-27/VZ-2024; MV-66212-32/VZ-2024; MVCRX07VOWCB; MVCRX07YPVIW; MVCRX07ZAZ0K; MVCRX080FP9G; MVCRX080RULH; MVCRX081X036; MVCRX0823UHR</t>
  </si>
  <si>
    <t>Passenger M1 limousines for Police/Fire service configured with hidden warning radio/light-siren equipment (VRZ)</t>
  </si>
  <si>
    <t>ZD PDF/DOCX; RD draft and updated RD DOCX; signed anonymised RD PDF; Explanations/changes ZD 1-4; written contracting-authority report; standard declarations and supplier-delivery templates</t>
  </si>
  <si>
    <t>Core procurement, RD, technical specifications, explanations and award/result report reviewed; uploaded XLSX cover/hodnotící tabulka not separately text-reviewed</t>
  </si>
  <si>
    <t>ICT/navigation/VRZ vehicle technology present but no explicit vehicle-cybersecurity requirement</t>
  </si>
  <si>
    <t>RD p35-39: vehicle spec requires integrated navigation/infotainment with Bluetooth, voice, Europe maps with lifetime updates, USB-C; RD p53+ / p24-33: hidden VRZ with LEDs, sirens, control panel, voltage monitoring; RD p12: classified-info/GDPR handling if provided; Písemná zpráva p4: subcontractor Metalex Car for police/fire conversion</t>
  </si>
  <si>
    <t>No R155/R156, CSMS/SUMS, cyber risk, vulnerability handling, security updates, OTA, telematics, remote diagnostics, cloud/API, incident response, data deletion or service deactivation found</t>
  </si>
  <si>
    <t>Connected-service cyber clauses should be considered only if procuring vehicles with telematics, OTA, remote diagnostics, cloud/API or data services; current documents do not visibly require these</t>
  </si>
  <si>
    <t>Navigation/map updates and electronic procurement/records are digital markers, but they are not cybersecurity obligations. General confidentiality/GDPR clauses are not connected-vehicle cybersecurity. Supplier/subcontractor provisions are procurement/sanctions controls, not cyber supply-chain risk.</t>
  </si>
  <si>
    <t>MV-121949-5/VZ-2024; MV-121949-12/VZ-2024; MV-121949-17/VZ-2024; MV-121949-19/VZ-2024; MV-121949-38/VZ-2024; MV-121949-41/VZ-2024; MV-121949-46/VZ-2024; MVCRX082T3XE; MVCRX085TURK; MVCRX0873FDV; MVCRX087L54K</t>
  </si>
  <si>
    <t>M1 SG firefighter SUV special vehicles with ZVZ, GPS navigation, optional terminal/radio/tablet installation</t>
  </si>
  <si>
    <t>ZD final/platná; RD draft and signed RD; technical specification within RD; explanations 1-3; qualification/sanctions/public-official forms; award report; addendum 1</t>
  </si>
  <si>
    <t>Substantially complete; XLSX cover/evaluation file was provided but not text-reviewed</t>
  </si>
  <si>
    <t>General information-security clauses plus vehicle digital/GPS markers; no connected-vehicle cybersecurity requirements</t>
  </si>
  <si>
    <t>RD §17 requires protection of classified information and personal data/GDPR; RD technical spec p.32 item 56 requires built-in GPS navigation with lifetime map updates; technical spec items 84-86 require optional digital terminal with GPS receiver, analog radio and tablet holder; ZD/RD require supplier/subcontractor and sanctions controls</t>
  </si>
  <si>
    <t>No R155/R156; no CSMS/SUMS; no OTA; no vulnerability handling; no security updates; no remote diagnostics/access; no cloud/API; no data deletion or service deactivation requirement</t>
  </si>
  <si>
    <t>Medium digital exposure from GPS/navigation and optional communications/tablet equipment, but cybersecurity is limited to general information-security/GDPR clauses and not vehicle-specific cyber controls</t>
  </si>
  <si>
    <t>GPS/map updates and ZVZ electronics were coded as digital/technical markers only; general security clauses are not treated as connected-vehicle cybersecurity.</t>
  </si>
  <si>
    <t>KRPA-276388-5/ČJ-2024-0000VZ-Z; KRPA-276388-8/ČJ-2024-0000VZ-Z; KRPA-276388-17/ČJ-2024-0000VZ-Z; KRPA-276388-19/ČJ-2024-0000VZ-Z</t>
  </si>
  <si>
    <t>Police service vehicles: 336 SDP and 38 electric SDP; service/repair incl diagnostics, ADAS calibration, EV diagnostics and high-voltage activation/deactivation</t>
  </si>
  <si>
    <t>246388-5 Zadávací podmínky; 276388-2 cenový formulář; 276388-3 Návrh inominátní smlouvy; 276388-4 Kvalita služeb a ND; 276388-5 Čestné prohlášení; Podání vysvětlení; Servis a opravy SDP; 276388-19 Písemná zpráva; 276388-19 Příloha č.1 posouzení kvalifikace; krycí list</t>
  </si>
  <si>
    <t>Mostly complete for uploaded procurement package; public-key attachment and any non-uploaded NEN archive contents not reviewed</t>
  </si>
  <si>
    <t>Vehicle diagnostics and service data present; no explicit cyber requirement</t>
  </si>
  <si>
    <t>Zadávací podmínky §2.7.4 and smlouva §2.2.9 require ECU fault-reading diagnostics, geometry data storage, ADAS, EV diagnostics and wallbox; smlouva §4.6 requires manufacturer-updated diagnostic system; §5.7 gives GPS coordinates for service-distance test</t>
  </si>
  <si>
    <t>No visible kybernetická bezpečnost, zranitelnost, security updates, OTA, R155/R156, CSMS/SUMS, remote access, cloud, API, data deletion or digital service deactivation</t>
  </si>
  <si>
    <t>Service/repair procurement has diagnostic and operational-data exposure but no explicit connected-vehicle cybersecurity requirements</t>
  </si>
  <si>
    <t>Diagnostic-system updates, GPS service coordinates, ADAS calibration and HV system deactivation were coded as digital/technical markers, not cybersecurity obligations</t>
  </si>
  <si>
    <t>MV-147079-1/VZ-2024; MV-147079-4/VZ-2024; MV-147079-9/VZ-2024; MV-147079-23/VZ-2024; MV-147079-25/VZ-2024; MV-147079-34/VZ-2024; PPR-24197-22/ČJ-2025-990631</t>
  </si>
  <si>
    <t>M1 SUV passenger vehicles, petrol 4x4, manager/service police vehicles with hidden VRZ warning equipment</t>
  </si>
  <si>
    <t>ZD__SUV_část A_B_C; RD template for část B incl platná 21_10_2024; RD_SUV_cast B_anonym; Dodatek č. 2; Písemná zpráva zadavatele; Vysvětlení ZD č. 1 and č. 2; annex declarations and significant-deliveries forms</t>
  </si>
  <si>
    <t>Provided package substantially complete for coding; XLSX cover/evaluation sheet was provided but not text-reviewed in file_search; no separate R155/R156 or cyber annex visible</t>
  </si>
  <si>
    <t>General information-security/data-protection clauses plus vehicle digital infotainment/navigation markers; no connected-vehicle cybersecurity requirement</t>
  </si>
  <si>
    <t>RD čl.16: utajované informace and osobní údaje/GDPR compliance; Tech spec item 57: Bluetooth, phone mirroring, 3D navigation with lifetime map updates; item 58/64: USB-C/device charging; PZZ p.4: VRZ subcontractors</t>
  </si>
  <si>
    <t>No R155/R156, CSMS/SUMS, OTA/security-update, telematics/remote diagnostics/access, cloud/API, vulnerability, incident, data deletion or service deactivation obligations</t>
  </si>
  <si>
    <t>Digital vehicle functions are present, but cybersecurity is limited to general information/classified-data and GDPR obligations, not connected-vehicle cyber controls.</t>
  </si>
  <si>
    <t>Do not treat VRZ, navigation, Bluetooth, USB-C, map updates or supplier/subcontractor clauses as CV-cybersecurity requirements; cyber-specific obligations are absent.</t>
  </si>
  <si>
    <t>MV-147119-1/VZ-2024; MV-147119-15/VZ-2024; MV-147119-20/VZ-2024; MVCRX0857OA1; MVCRX087PQ1G; MVCRX087TG2T</t>
  </si>
  <si>
    <t>SUV passenger road vehicles category M1, 4x4 diesel, Part C commercial management vehicles</t>
  </si>
  <si>
    <t>ZD SUV část A_B_C PDF/DOCX; Krycí list a hodnotící tabulka část C XLSX; závazný návrh RD část C DOCX; CP základní způsobilost; CP sankce; seznam významných dodávek; podíl veřejných funkcionářů; písemná zpráva zadavatele; signed RD auta SUV část C</t>
  </si>
  <si>
    <t>Core tender, annexes and award/signed RD provided; no separate explanation documents from Explanations_URL provided in chat</t>
  </si>
  <si>
    <t>Digital vehicle features and generic information-protection clauses only; no explicit connected-vehicle cybersecurity requirement</t>
  </si>
  <si>
    <t>RD Příloha 3 pp.26-28: eCall, Bluetooth handsfree, USB-C and vestavěná GPS navigace; RD p.6: technical data inserted into IS TP; RD čl.16 pp.11-12: classified information and personal-data clauses; RD čl.17 and Příloha 7: subcontractor responsibility/list</t>
  </si>
  <si>
    <t>No R155/R156, CSMS/SUMS, OTA, security/software update requirement, vulnerability handling, cyber incident reporting, data deletion or service deactivation</t>
  </si>
  <si>
    <t>Part C contains connected/digital vehicle markers but no visible CV cybersecurity requirement.</t>
  </si>
  <si>
    <t>General security clauses concern classified information and GDPR only; GPS map updates are map-content updates, not software or security updates.</t>
  </si>
  <si>
    <t>PPR-11743-43/ČJ-2024-990640; PPR-11743-62/ČJ-2024-990640; PPR-11743-64/ČJ-2024-990640; PPR-11743-67/ČJ-2024-990640; PPR-11743-96/ČJ-2024-990640; PPR-11743-98/ČJ-2024-990640; Z2024-061449; PPR-19153-57/ČJ-2020-990640; PPR-48236-5/ČJ-2023-990670</t>
  </si>
  <si>
    <t>Command-staff vehicles MMC/MOC; vehicle ICT, network, camera, GPS, server/application and Helpdesk support</t>
  </si>
  <si>
    <t>ZD PDF/DOC; Změna ZD č.1; Vysvětlení ZD č.2; Změna ZD č.3; signed RD; písemná zpráva; uploaded price/spec XLSX references</t>
  </si>
  <si>
    <t>Mostly complete for public package; referenced non-public Kupní smlouva PPR-19153-57/ČJ-2020-990640 not provided</t>
  </si>
  <si>
    <t>Connected-vehicle-specific cybersecurity requirements present</t>
  </si>
  <si>
    <t>RD art.14.13 requires Cybersecurity Act/Decree compliance; spec p.36-54 requires security updates/upgrades, vulnerability removal, Helpdesk incidents, remote access, GPS</t>
  </si>
  <si>
    <t>No R155/R156, CSMS/SUMS, OTA, cloud/API or mobile-app requirements visible</t>
  </si>
  <si>
    <t>High digital exposure with explicit cybersecurity and data-protection obligations, including vehicle ICT support and security update activities</t>
  </si>
  <si>
    <t>Do not treat GPS/Helpdesk alone as cyber; explicit cyber comes from RD 14.13 and security update/vulnerability language. Non-public purchase contract was not reviewed.</t>
  </si>
  <si>
    <t>PCR18ETRpo43871591; KRPL-98210-3/ČJ-2025-1800VZ; MV-94139-33/VZ-2024</t>
  </si>
  <si>
    <t>17 Škoda Kodiaq Selection 2.0 TSI 150 kW 4x4 SUVs with hidden VRZ</t>
  </si>
  <si>
    <t>Partial: uploaded implementing contract reviewed; referenced framework agreement not provided; technical and price annex pages are largely unreadable/redacted images</t>
  </si>
  <si>
    <t>Contract p.2 specifies vehicle supply; p.4 mentions GDPR/register publication but no cyber/vehicle digital obligation</t>
  </si>
  <si>
    <t>No visible references to cybersecurity, software updates, OTA, telematics, remote access, GPS/location data, R155/R156, CSMS/SUMS, incident handling, data deletion/deactivation</t>
  </si>
  <si>
    <t>No connected-vehicle cybersecurity requirements visible in the reviewed uploaded contract.</t>
  </si>
  <si>
    <t>Scoring limited by missing framework agreement and unreadable/redacted annex content; no hidden requirements inferred.</t>
  </si>
  <si>
    <t>MV-111805-9/VZ-2025; MV-111805-16/VZ-2025; MV-111805-19/VZ-2025; MV-111805-21/VZ-2025; MV-111805-24/VZ-2025; MV-111805-55/VZ-2025; MV-111805-58/VZ-2025; F2025-064112; Z2025-064112</t>
  </si>
  <si>
    <t>M1 4x4 minibuses 1+7 for Police of the Czech Republic, with hidden warning sound/light/radio equipment VRZ/ZVZ</t>
  </si>
  <si>
    <t>ZD final and 01.12.2025 update; RD template and signed/anonymised RD; explanations/changes 1-4; cover/evaluation XLSX; qualification, significant deliveries, sanctions and public-official annexes; written report</t>
  </si>
  <si>
    <t>Complete for uploaded package; no missing mandatory document visible in the provided files</t>
  </si>
  <si>
    <t>No explicit connected-vehicle cybersecurity requirement; limited general vehicle digital/technical markers only</t>
  </si>
  <si>
    <t>ZD s2.2 specifies M1 4x4 minibuses with VRZ; RD s9.1 requires electronic technical vehicle data into IS TP; RD s16 covers classified information/GDPR if provided; RD s17 and sanctions annex address supplier/subcontractor controls</t>
  </si>
  <si>
    <t>No R155/R156, CSMS/SUMS, OTA/software-update, telematics, remote diagnostics/access, GPS/location data, cloud/API/mobile app, operational-data, data deletion or service deactivation clauses</t>
  </si>
  <si>
    <t>The package is a vehicle supply framework with service and supplier-control clauses, but no visible connected-vehicle cybersecurity obligations.</t>
  </si>
  <si>
    <t>VRZ, electronic NEN communication, e-invoicing and IS TP technical-data entry are digital/technical markers only; supplier-risk code is indirect from sanctions, qualification, subcontractor and replacement-supplier provisions.</t>
  </si>
  <si>
    <t>MV-181375-1/VZ-2025; MV-181375-8/VZ-2025; MV-181375-11/VZ-2025; MV-181375-15/VZ-2025; MV-181375-17/VZ-2025; MV-181375-24/VZ-2025; MV-181375-28/VZ-2025; MV-181375-36/VZ-2025; MV-181375-49/VZ-2025; MV-181375-52/VZ-2025</t>
  </si>
  <si>
    <t>M1 4x4 minibuses, 1+8, ordinary resort vehicles</t>
  </si>
  <si>
    <t>ZD final and amended; RD templates and final signed RD; explanations 1-7; written contracting-authority report; annexes 1,3-6</t>
  </si>
  <si>
    <t>Complete for uploaded procurement package; NEN HTML not separately reviewed beyond supplied metadata</t>
  </si>
  <si>
    <t>General information-security only; low vehicle digital exposure</t>
  </si>
  <si>
    <t>RD art.16 requires compliance for classified information and personal data; RD technical spec p.27 lists Bluetooth, Apple CarPlay/Android Auto, USB-C; ZD/RD qualification and sanctions annexes address supplier eligibility</t>
  </si>
  <si>
    <t>No R155/R156; no CSMS/SUMS; no OTA/software-update duties; no telematics, GPS, vulnerability, incident, data deletion or service deactivation clauses</t>
  </si>
  <si>
    <t>No connected-vehicle cybersecurity requirements found; only general classified-information/GDPR clauses and infotainment/mobile-phone integration.</t>
  </si>
  <si>
    <t>Dálkové ovládání appears for heating/central locking but not as telematics or remote access; smartphone mirroring coded as indirect mobile-app marker.</t>
  </si>
  <si>
    <t>MV-181375-1/VZ-2025; MV-181375-8/VZ-2025; MV-181375-11/VZ-2025; MV-181375-15/VZ-2025; MV-181375-17/VZ-2025; MV-181375-24/VZ-2025; MV-181375-28/VZ-2025; MV-181375-36/VZ-2025; MV-181375-49/VZ-2025; MV-181375-52/VZ-2025; PPR-59499-5/ČJ-2025-990656; PPR-59499-6/ČJ-2025-990656; N006/25/V00042134</t>
  </si>
  <si>
    <t>Pořízení 3 osobních vozidel ve třech verzích</t>
  </si>
  <si>
    <t>Příloha č. 1 - Technická specifikace.docx; Příloha č. 2 - návrh kupní smlouvy_rev121225.doc; Výzva k podání nabídek_final.pdf; vysvětlení výzvy k podání nabídek_sig.pdf</t>
  </si>
  <si>
    <t>Uploaded documents do not match supplied master identity: docs concern Pořízení 3 osobních vozidel ve třech verzích and explanation cites N006/25/V00042134; master N006/25/V00038632 package documents are missing/not reviewed.</t>
  </si>
  <si>
    <t>Vehicle infotainment/navigation marker only; no cybersecurity requirements</t>
  </si>
  <si>
    <t>Unclear</t>
  </si>
  <si>
    <t>Příloha č.1 tech. spec items 45/46 require integrated navigation/information system with Bluetooth, handsfree, voice control, 3D navigation and Europe map data; Výzva p.2 requires supplier qualification documents; contract art.5.7-5.8 allows withdrawal for insolvency or loss of qualification.</t>
  </si>
  <si>
    <t>No R155/R156; no CSMS/SUMS; no OTA or software-update duties; no telematics, remote diagnostics/access, cloud/API, vulnerability or cyber-incident obligations; no data deletion/service deactivation clauses.</t>
  </si>
  <si>
    <t>No connected-vehicle cybersecurity requirements found in uploaded documents; only low-level infotainment/navigation and general supplier qualification/contract-risk provisions.</t>
  </si>
  <si>
    <t>Master metadata preserved, but evidence is from uploaded documents with different tender title/reference; treat package completeness as deficient for the supplied master procurement.</t>
  </si>
  <si>
    <t>KRPE-99122/ČJ-2025-1700VZ; MV-40156-48/VZ-2022; MV-40156-68/VZ-2022; MV-40156-76/VZ-2022</t>
  </si>
  <si>
    <t>10 ŠKODA KODIAQ policejní speciál 2.0 TSI 195 kW 7 DSG 4x4 police vehicles</t>
  </si>
  <si>
    <t>Contract p.2: delivery of 10 ŠKODA KODIAQ police special vehicles; no visible cyber/digital wording in readable text.</t>
  </si>
  <si>
    <t>Missing visible references to cybersecurity, software updates, OTA, telematics, remote diagnostics/access, cloud/API/GPS/data handling, R155/R156, CSMS/SUMS.</t>
  </si>
  <si>
    <t>Readable documents show vehicle delivery only; no explicit connected-vehicle cybersecurity requirement visible.</t>
  </si>
  <si>
    <t>Technical annex pages are mostly unreadable/redacted in the uploaded PDF, so absence coding is limited to visible text.</t>
  </si>
  <si>
    <t>PS_MV_ram_A_ prvosledy_Pbk_an.pdf (Prováděcí smlouva, Příloha 1 technical specification, Příloha 2 price</t>
  </si>
  <si>
    <t>Uploaded execution contract reviewed; Příloha 1 technical specification and Příloha 2 price are largely redacted; framework agreement and amendments referenced but not provided.</t>
  </si>
  <si>
    <t>17 Škoda Kodiaq Selection 2.0 TSI 150 kW 4x4 vehicles with hidden VRZ warning equipment</t>
  </si>
  <si>
    <t>PROVADECI SMLOUVA KODIAQ KOMERCNI S VRZ 17KS.pdf, 16 pp.</t>
  </si>
  <si>
    <t>Partial: contract body readable; technical specification and price annexes on pp. 6-16 largely redacted/illegible; framework agreement not provided</t>
  </si>
  <si>
    <t>No visible connected-vehicle cybersecurity or digital exposure marker</t>
  </si>
  <si>
    <t>Contract p.1 identifies implementing contract and internal references; p.2 lists 17 Škoda Kodiaq vehicles with hidden VRZ; pp.3-4 include supplier insolvency/sanctions termination grounds</t>
  </si>
  <si>
    <t>No R155/R156, CSMS/SUMS, cybersecurity, software update, OTA, telematics, diagnostics, GPS/location, cloud/API, data deletion or service deactivation visible</t>
  </si>
  <si>
    <t>Readable documents show vehicle supply only; no explicit cybersecurity requirement and no connected-vehicle digital functions visible</t>
  </si>
  <si>
    <t>Assessment limited to uploaded PDF; annex text appears redacted/illegible, so hidden technical details cannot be assessed</t>
  </si>
  <si>
    <t>KRPA-99680-6/ČJ-2026-0000VZ-Z; PCR00ETRPO92783463</t>
  </si>
  <si>
    <t>742 police service vehicles incl. EVs, hidden VRZ, IZS/special equipment, diagnostics and ADAS calibration</t>
  </si>
  <si>
    <t>99680-6 Zadávací podmínky; Návrh smlouvy; Seznam SDP; Krycí list; Čestné prohlášení 833/2014; Vysvětlení ZD č.1</t>
  </si>
  <si>
    <t>Complete for uploaded package; award/result document not provided</t>
  </si>
  <si>
    <t>Digital vehicle servicing markers, no cybersecurity requirement</t>
  </si>
  <si>
    <t>Zadávací podmínky p.8: diagnostic devices for ECUs, ADAS, EV diagnostics; p.9 and smlouva: VIN, odometer, service history data; p.14: GPS coordinates for service-centre distance; p.8/14: HVT deactivation/activation of HV system</t>
  </si>
  <si>
    <t>No cyber security, vulnerability, OTA, telematics, remote access, cloud/API, R155/R156, CSMS/SUMS, security updates, data erasure obligations</t>
  </si>
  <si>
    <t>Procurement contains vehicle diagnostic/EV/ADAS and operational-data requirements but no explicit connected-vehicle cybersecurity requirement.</t>
  </si>
  <si>
    <t>Software-update score is indirect only because contract requires provider diagnostic system to be updated by manufacturer; deactivation relates HV system, not digital services.</t>
  </si>
  <si>
    <t>HSUL-2102-4/ÚE-2026; HSUL-2102/ÚE-2026; Rámcová smlouva 2026156; HZSUX00D8QVT</t>
  </si>
  <si>
    <t>Tyres and tyre-service work for HZS Ústí passenger and heavy vehicles; mobile tyre-service option; route/distance cost calculation</t>
  </si>
  <si>
    <t>04 Výzva k podání nabídek - pneu+pneuservis.pdf; 04a Specifikační listina - pneumatiky 2026.pdf/doc; 04b Návrh RS 2026156 - nákl pneu+pneuservis.pdf/docx; 04c Čestné prohlášení dle §74.docx; 04d Čestné prohlášení o dodrž. mez. sankcí.doc</t>
  </si>
  <si>
    <t>Core uploaded tender documents reviewed; NEN explanations and result/award pages not provided as documents</t>
  </si>
  <si>
    <t>No CV cybersecurity requirements; low non-connected digital exposure</t>
  </si>
  <si>
    <t>Specifikace p.4-7 and Výzva p.2: mobile service and Google Maps distance from HZS dislocations; Contract Art X: GDPR/publication and supplier conflict notice; sanctions declaration covers restricted suppliers</t>
  </si>
  <si>
    <t>No cyber, software update, OTA, telematics, remote diagnostics/access, cloud/API, R155/R156, CSMS/SUMS, data deletion/deactivation requirements</t>
  </si>
  <si>
    <t>Procurement is for tyres and tyre-service work only; digital elements are administrative/route-calculation, not connected-vehicle cybersecurity</t>
  </si>
  <si>
    <t>Do not treat public-safety wording or electronic submission as cybersecurity; Google Maps route calculation is not vehicle GPS/telematics</t>
  </si>
  <si>
    <t>HSUL-2335-4/ÚE-2026; HZSUX00D8QPN; HSUL-2335/ÚE-2026; HSUL-1761/ÚE-2026; Rámcová smlouva č. 2026088</t>
  </si>
  <si>
    <t>Vehicle STK/ME inspections for KŘ HZS Ústí; M1/O1/N1 vehicles up to 3500 kg; estimated 12 vehicles/year</t>
  </si>
  <si>
    <t>04 Výzva k podání nabídek - KŘ-STK-ME.pdf; 04a Spec_listina_STK-emise - KŘ.pdf; 04b RS 2026088 - STK+ME - KŘ.pdf/docx; 04c Čestné prohlášení dle §74.docx; 04d Čestné prohláš_ o dodrž_ mez_sankcí.doc</t>
  </si>
  <si>
    <t>All supplied procurement documents reviewed; no award/result or explanations document supplied beyond URLs</t>
  </si>
  <si>
    <t>No connected-vehicle cybersecurity requirement; low digital exposure via inspection/diagnostic tools and online administration</t>
  </si>
  <si>
    <t>Framework contract Art. V.5 requires approved/calibrated diagnostic equipment; Art. II.4 permits online reservations; tender/specification use Google Maps for distance; qualification/sanctions declarations address supplier eligibility</t>
  </si>
  <si>
    <t>No cyber security, vulnerability, software update, OTA, telematics, remote access, cloud/API, GPS/location data, R155/R156, CSMS/SUMS, incident handling, data deletion or service deactivation requirements</t>
  </si>
  <si>
    <t>Service-only STK/emissions procurement with no visible CV-cybersecurity obligations; supplier-risk references are general procurement/sanctions only</t>
  </si>
  <si>
    <t>Do not treat diagnostic equipment, online reservation, Google Maps distance check, e-mail/NEN/data-box communication or GDPR/publication clauses as cybersecurity requirements</t>
  </si>
  <si>
    <t>VZ/01/2026; HSCB-608/2026 KŘ; PSM/1469/2026; MV-32730-1/PO-IZS-2017; MVCRX03DSO45; TP-STS/14B-2017</t>
  </si>
  <si>
    <t>FZŠ – Technický automobil hm. kategorie „L“ - 1 ks</t>
  </si>
  <si>
    <t>1 ks technical automobile category L, special chemical fire-rescue vehicle</t>
  </si>
  <si>
    <t>Zadávací podmínky; Příloha 1 Technické podmínky; Příloha 2 Seznam příslušenství; Příloha 3 TP-STS/14B-2017; Příloha 4 Kupní smlouva; Přílohy 5-7 forms/prohlášení</t>
  </si>
  <si>
    <t>Uploaded documents reviewed; XLSX not accessible in tool, PDF equivalents/forms reviewed</t>
  </si>
  <si>
    <t>ICT/GPS and vehicle communication equipment present; no cybersecurity requirement</t>
  </si>
  <si>
    <t>Tech podm. p.1-2: autorádio Bluetooth; camera records vehicle operation; digital terminal with GPS receiver/antenna. TP-STS/14B p.1-3: mobile phone, tablet, navigation, data/communication/recording devices; UTP cables. Zadávací podmínky p.2: all communication means supplied by authority. RUSKO declaration: subcontractor/sanctions exclusions.</t>
  </si>
  <si>
    <t>No kybernetická bezpečnost, vulnerabilities, security updates, OTA, cloud/API, R155/R156, CSMS/SUMS, incident handling, data deletion or service deactivation obligations visible.</t>
  </si>
  <si>
    <t>Procurement contains vehicle ICT/location markers but no explicit connected-vehicle cybersecurity controls.</t>
  </si>
  <si>
    <t>Treat GPS/location and operational recording as digital exposure only; BOZP and general safety/certification are not cybersecurity.</t>
  </si>
  <si>
    <t>RM6353; Notice identifier 2025/S 000-002027; OCID ocds-h6vhtk-04d509</t>
  </si>
  <si>
    <t>Lot 4 - Supply of vehicle telematics hardware, software and associated products</t>
  </si>
  <si>
    <t>002027-2025.pdf; RM6353 Framework Schedule.pdf; RM6353 Joint Schedule.pdf; Core-terms.docx; RM6353 Call-Off Schedule.pdf</t>
  </si>
  <si>
    <t>Core procurement documents reviewed; no result/award document supplied.</t>
  </si>
  <si>
    <t>Explicit connected-vehicle telematics with cybersecurity and security-plan requirements</t>
  </si>
  <si>
    <t>Notice p7-8 requires Cyber Essentials certification and Security Requirement and Plan; Framework Schedule 1 s6 requires telematics data/platform, GPS, OTAP, secure encrypted platform; Call-Off Schedule 9 p92-107 requires Security Management Plan, breach process, vulnerability patching; Core Terms cl14 requires secure systems and secure erase.</t>
  </si>
  <si>
    <t>No R155/R156/CSMS/SUMS; no explicit API term; no explicit cloud term; no vehicle type-approval cybersecurity regulation references.</t>
  </si>
  <si>
    <t>Strong positive comparator: vehicle telematics procurement explicitly carries cyber/security requirements including Cyber Essentials, secure/encrypted telematics platform, vulnerability patching, supplier security risk controls, and data erasure/deactivation provisions.</t>
  </si>
  <si>
    <t>Codes based only on visible uploaded documents; cybersecurity duties are explicit but mostly generic ICT/security controls applied to vehicle telematics, not UNECE R155/R156 type-approval language.</t>
  </si>
  <si>
    <t>Framework Ref RM6315; Core Terms v3.0.11; Framework Schedule 1 Specification v1.0; Call-Off Schedules v1.0</t>
  </si>
  <si>
    <t>all-contract-terms-and-conditions-for-a-call-off.pdf; RM6315-Joint-Schedule-12-Embedded-document-Supply-Chain-Visibility-v.1.0.pdf</t>
  </si>
  <si>
    <t>Provided package includes all-contract terms with embedded Framework Schedule 1 Specification plus supply-chain visibility document; original DOCX at Documents_URL not separately uploaded.</t>
  </si>
  <si>
    <t>Connected-vehicle telematics procurement with explicit ICT/security and telematics-platform security requirements.</t>
  </si>
  <si>
    <t>Spec p8-12: telematics data recorded/stored/transmitted; GPS live visibility; OTAP software updates; platform secure/encrypted; data held securely. Call-Off Sch 9 p7-20: ISMS, incident response, vulnerability management, security patches, secure erase.</t>
  </si>
  <si>
    <t>R155/R156, CSMS/SUMS and explicit automotive cyber-regulation references absent; API and mobile app not visible.</t>
  </si>
  <si>
    <t>Strong comparator: explicit connected-vehicle data flows plus explicit general ICT/security controls, but no UNECE vehicle-cybersecurity framework references.</t>
  </si>
  <si>
    <t>Security requirements are mostly generic ICT/ISMS and data-security clauses, with some telematics-specific security in platform/data clauses.</t>
  </si>
  <si>
    <t>UK-RM6265</t>
  </si>
  <si>
    <t>RM6265</t>
  </si>
  <si>
    <t>FTS Notice 030726-2022; Framework Ref RM6265</t>
  </si>
  <si>
    <t>Vehicle Hire Solutions; all Lots 1-5</t>
  </si>
  <si>
    <t>RM6265-all-Framework-Schedules.pdf; RM6265-all-Joint-Schedules.pdf; RM6265-Core-terms-v3.0.11.docx; RM6265-Creating-a-Call-Off-Contract-using-Standard-Order-Form.odt; RM6265-Framework-Award-Form-v3.11.docx; Dos-and-Donts-for-Creating-a-Call-off-under-RM6265.odt; RM6265-all-Call-off-schedules.pdf</t>
  </si>
  <si>
    <t>Provided contract documents reviewed; external notice and Contract Finder webpages not reviewed as documents.</t>
  </si>
  <si>
    <t>General cybersecurity and data-security controls plus car-share digital exposure; no connected-vehicle-specific cyber requirement.</t>
  </si>
  <si>
    <t>Framework Schedule 9 p71-73: Cyber Essentials certificate required; Call-Off Schedule 9 p114-129: security management, breach, vulnerabilities and security patching; Framework Schedule 1 p1,p25: car share technology, journey tracking and online booking; Core Terms cl.14.8: secure erase/destroy Government Data.</t>
  </si>
  <si>
    <t>No R155/R156, CSMS/SUMS, OTA, vehicle cybersecurity engineering, remote diagnostics, API/cloud/mobile app, or explicit connected-vehicle cyber controls found.</t>
  </si>
  <si>
    <t>Comparator shows general supplier cyber controls and digital vehicle-hire/car-share functions, but not CV-specific cybersecurity requirements.</t>
  </si>
  <si>
    <t>Cybersecurity is contractual/general ICT security, not vehicle-embedded or UNECE-specific; car-share journey tracking raises digital exposure.</t>
  </si>
  <si>
    <t>Framework for standard/specialist vehicles incl. blue-light emergency vehicles, Fleet Portal, vehicle connectivity, CANBus/on-board data, telematics and transmitting/SIM devices.</t>
  </si>
  <si>
    <t>Core Terms v3.0.11.1; Further Competition Template 211122; Joint Schedule 1 Definitions v3.10; RM6244 Call-Off Schedule; RM6244 Framework Schedule; RM6244 Joint Schedule; RM6244 Buyer Guide</t>
  </si>
  <si>
    <t>Framework-level documents reviewed; no executed call-off contract, supplier-specific Framework Award Form or buyer-specific Statement of Requirements provided.</t>
  </si>
  <si>
    <t>ICT/telematics/software present with general cybersecurity controls, but no vehicle-cybersecurity regulation requirement.</t>
  </si>
  <si>
    <t>Framework Schedule p12 Vehicle Connectivity: on-board data systems, CANBus, operational data, transmitting/SIM device data use/removal/disable; Call-Off Schedule 9 pp34,42-45: ISMS, security patches, vulnerability handling, secure erase; Framework Schedule 9 pp67-68: Cyber Essentials.</t>
  </si>
  <si>
    <t>R155/R156, CSMS/SUMS, OTA, GPS/location data, mobile app, API/cloud and connected-vehicle-specific cyber testing/update obligations not visible.</t>
  </si>
  <si>
    <t>RM6244 is useful as a UK comparator: it exposes connected-vehicle data/telematics and general cyber controls, but does not visibly require UNECE R155/R156 or vehicle-specific vulnerability/update management.</t>
  </si>
  <si>
    <t>Cybersecurity is explicit mainly at ICT/Government Data and Cyber Essentials level; vehicle connectivity clauses require data/confidentiality and disablement transparency, not explicit vehicle cybersecurity assurance.</t>
  </si>
  <si>
    <t>CGD-SIV-2022; procedure abd68730-bdc8-4778-af3d-cfd9b5c34ff6; contract NP0031220; notice 2d692ed7-2454-4e43-852a-5dd76052e43e-01</t>
  </si>
  <si>
    <t>CGD Snelle interventie voertuigen 2022</t>
  </si>
  <si>
    <t>Police vehicles, IV/ICT means, police-confidential data, explicit award criterion Informatiebeveiliging, cyberveiligheid and cyber-espionage risk.</t>
  </si>
  <si>
    <t>TN575005 - EF31 Aankondiging gegunde opdracht - defensierichtlijn, standaardregeling 20260304042614.pdf</t>
  </si>
  <si>
    <t>Only award notice/publication reviewed; underlying tender documentation, annexes, detailed requirements and contract text not provided.</t>
  </si>
  <si>
    <t>Strong explicit CV cybersecurity/information-security comparator</t>
  </si>
  <si>
    <t>R155/R156, CSMS/SUMS, OTA, software/security updates, vulnerability management, remote access/diagnostics, API/cloud, mobile app, data deletion/deactivation not visible in reviewed notice.</t>
  </si>
  <si>
    <t>Very strong positive comparator: vehicle procurement explicitly connects police vehicle data/ICT exposure with information security, cyber safety and cyber-espionage risk, but detailed cyber controls are not visible in the provided award notice.</t>
  </si>
  <si>
    <t>Do not treat absent detailed controls as absent from the procurement overall because only the award notice was provided; underlying tender documents may contain more specific requirements.</t>
  </si>
  <si>
    <t>54cd0066-7613-44f3-842c-e65bbe1e5ad8; 440923; LOT-0000; 75fc7161-dab9-4e8c-a7cb-5763320bb4c8-02</t>
  </si>
  <si>
    <t>Only contract notice reviewed; underlying tender guide, specifications, NvI and award publication not provided.</t>
  </si>
  <si>
    <t>Notice p.1-2: vehicle tracking, driver identification, fleet-management, navigation app for emergency/help-service vehicles, software/ICT components and interfaces; CPV includes GPS and software/information systems.</t>
  </si>
  <si>
    <t>Cybersecurity, vulnerabilities, security updates, OTA, R155/R156, CSMS/SUMS, incident handling, supplier cyber risk, data deletion/deactivation not visible.</t>
  </si>
  <si>
    <t>Strong digital/telematics exposure, but no visible cybersecurity requirement in the provided notice.</t>
  </si>
  <si>
    <t>Software update coded 1 because software/ICT management is stated, but no update/security-update obligation is visible; API coded 1 because only interfaces are mentioned, not APIs.</t>
  </si>
  <si>
    <t>TN-448189; dd624a0b-e8a9-4925-9208-891a99bdf4b8; EA Leasen en huren van auto's</t>
  </si>
  <si>
    <t>Leasen en huren van auto's t.b.v. het UMCG</t>
  </si>
  <si>
    <t>TN448189 - EF16 Aankondiging van een opdracht - algemene richtlijn, standaardregeling 20240119090452.pdf</t>
  </si>
  <si>
    <t>Document uploaded is TenderNed publication TN-448189 notice, not publicatie 323126; full TenderNed document package not provided.</t>
  </si>
  <si>
    <t>General information-security requirement in fleet leasing procurement; no connected-vehicle-specific cybersecurity.</t>
  </si>
  <si>
    <t>No R155/R156, OTA, vulnerability, software-update, telematics, GPS/location-data, remote diagnostics, data deletion or deactivation requirements visible.</t>
  </si>
  <si>
    <t>Useful comparator: explicit general information-security management requirement appears alongside a fleet digital information system, but vehicle-cybersecurity and connected-vehicle controls are absent.</t>
  </si>
  <si>
    <t>Master identity preserved as supplied despite uploaded notice showing TN-448189 and 2024 UMCG publication details; coded only from uploaded document.</t>
  </si>
  <si>
    <t>document 13510443; PSA versie 1.01; datum 17-12-2025</t>
  </si>
  <si>
    <t>Bijlage 4 - Project Start Architectuur Bedrijfssoftware AFV.pdf</t>
  </si>
  <si>
    <t>Document incomplete for full package: only uploaded PSA reviewed; other TenderNed documents not provided.</t>
  </si>
  <si>
    <t>General SaaS/information-security requirements with fleet/on-board-computer integrations; no connected-vehicle-specific cybersecurity.</t>
  </si>
  <si>
    <t>No R155/R156, CSMS/SUMS, OTA, vulnerability management, vehicle cyber-risk assessment, secure vehicle diagnostics, secure software-update management, data deletion/deactivation requirements visible.</t>
  </si>
  <si>
    <t>Strong ICT/SaaS cybersecurity comparator for municipal fleet operations, but cybersecurity is framed around information systems and integrations rather than vehicle-specific cyber regulation.</t>
  </si>
  <si>
    <t>Do not code as connected-vehicle cybersecurity requirement; code as general information-security requirement attached to SaaS ERP/fleet-operation integrations.</t>
  </si>
  <si>
    <t>AICT-2017-0003</t>
  </si>
  <si>
    <t>Selectieleidraad Optimalisatie afvalinzameling 1.0.pdf, 75 pp.</t>
  </si>
  <si>
    <t>Partial: only selectieleidraad reviewed; separate Bijlage 1 data sheet, Bijlage 3 product standards, Bijlage 6 GIBIT and later gunningsleidraad not provided.</t>
  </si>
  <si>
    <t>Positive ICT/fleet-data comparator with explicit general information-security and ISMS requirements, but no vehicle-specific cyber regulation.</t>
  </si>
  <si>
    <t>No R155/R156, CSMS/SUMS, vulnerability handling, security-update/patching, OTA or connected-vehicle-specific cybersecurity obligations visible.</t>
  </si>
  <si>
    <t>Strong older comparator: procurement explicitly controls ICT/security for a fleet-management and vehicle-data platform, but cybersecurity is general municipal ICT security rather than connected-vehicle-specific.</t>
  </si>
  <si>
    <t>Do not code as R155/R156 or vehicle cybersecurity; classify as general ICT/information-security requirement with high digital exposure from GPS/tracking/API/hosting/CAN-bus optional integration.</t>
  </si>
  <si>
    <t>Registry extract confirms subject “13 ks Škoda Kodiaq RD č.A” and contract value; contract relies on referenced framework agreement not included in uploaded documents.</t>
  </si>
  <si>
    <t xml:space="preserve">Scored only visible procurement text. GDPR/classified-information clauses were treated as legal information-handling duties, not vehicle cybersecurity. </t>
  </si>
  <si>
    <t>Remote key locking treated only as low/indirect digital exposure, not telematics. Classified-information clause is not vehicle cybersecurity.</t>
  </si>
  <si>
    <t>Contract p10 technical parameters: immobilizer, electronic stability system, factory radio, Bluetooth handsfree, USB, central locking with remote controls; no cyber obligations visible.</t>
  </si>
  <si>
    <t xml:space="preserve">Award notice p.1-4: SIVs include IV/ICT means; processed data, location data and other data are Police-confidential; security risk if available to third parties; criterion 4 Informatiebeveiliging values cyberveiligheid and cyber-espionage risk. </t>
  </si>
  <si>
    <t>Notice p.4: requires an information-security management system, evidence e.g. ISO 27001; p.4: digital information system for fleet; p.5: car rental reservation including app.</t>
  </si>
  <si>
    <t xml:space="preserve">PSA p.25 lists vehicle/fleet components incl. routeoptimalisatie, boordcomputer systems Welvaarts/JAMA/AE and WasteVision; p.27-31 requires STOSAG/API/integration standards incl. vehicles, BAG API, OpenAPI, TLS/HTTPS/HSTS; p.32-35 requires BIO/BIO2 information security, ISO27001 for SaaS supplier/hosting, web-app security guidelines, audit logs, TLS/headers, supplier-chain security and SLA controls. </t>
  </si>
  <si>
    <t xml:space="preserve">Selectieleidraad p.8: hosted software, source-code/data rights and data destruction; p.29: navigation, vehicle tracking, CAN-bus telematics allowed; p.38-39: BIG/ISO 27001/27002 and system must comply with Amsterdam information-security policy; p.54: ISMS certified to NEN-ISO 27001 incl. subcontractors; p.39-41: API, hosting, webbased/SSO. </t>
  </si>
  <si>
    <t>registr_smluv_smlouva_24042781.pdf pp.1-2 ; KS_KODIAQ_cast_A1_s_VRZ_anonym.pdf pp.1-11</t>
  </si>
  <si>
    <t xml:space="preserve">45781 smlouva podepsana 65886VZ anm.pdf pp.1-4 :; Písemná zprava zadavatele Část 2.pdf pp.1-3 ; registr_smluv_smlouva_24126717.pdf pp.1-2 </t>
  </si>
  <si>
    <t>PROVADECI SMLOUVA KODIAQ KOMERCNI S VRZ 17KS.pdf pp.1-16</t>
  </si>
  <si>
    <t>TN440923 - EF17 Aankondiging van een opdracht - sectorale richtlijn, standaardregeling 20250124093001.pdf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</si>
</sst>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4" fillId="0" borderId="0" xfId="2" applyAlignment="1">
      <alignment vertical="top" wrapText="1"/>
    </xf>
  </cellXfs>
  <cellStyles count="3">
    <cellStyle name="Hypertextový odkaz" xfId="2" builtinId="8"/>
    <cellStyle name="Normal" xfId="1" xr:uid="{00000000-0005-0000-0000-000000000000}"/>
    <cellStyle name="Normální" xfId="0" builtinId="0"/>
  </cellStyles>
  <dxfs count="3">
    <dxf>
      <font>
        <color rgb="FF777777"/>
      </font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fiedCodingTable" displayName="UnifiedCodingTable" ref="A1:BG51">
  <tableColumns count="59">
    <tableColumn id="1" xr3:uid="{00000000-0010-0000-0000-000001000000}" name="Record_ID"/>
    <tableColumn id="2" xr3:uid="{00000000-0010-0000-0000-000002000000}" name="Country"/>
    <tableColumn id="3" xr3:uid="{00000000-0010-0000-0000-000003000000}" name="Procurement_Platform"/>
    <tableColumn id="4" xr3:uid="{00000000-0010-0000-0000-000004000000}" name="Platform_Tender_ID"/>
    <tableColumn id="5" xr3:uid="{00000000-0010-0000-0000-000005000000}" name="NEN_ID"/>
    <tableColumn id="6" xr3:uid="{00000000-0010-0000-0000-000006000000}" name="Internal_Reference_IDs"/>
    <tableColumn id="7" xr3:uid="{00000000-0010-0000-0000-000007000000}" name="Master_Tender_Name"/>
    <tableColumn id="8" xr3:uid="{00000000-0010-0000-0000-000008000000}" name="Tender_Title_or_Lot"/>
    <tableColumn id="9" xr3:uid="{00000000-0010-0000-0000-000009000000}" name="Contracting_Authority"/>
    <tableColumn id="10" xr3:uid="{00000000-0010-0000-0000-00000A000000}" name="Publication_Year"/>
    <tableColumn id="11" xr3:uid="{00000000-0010-0000-0000-00000B000000}" name="Procurement_Type"/>
    <tableColumn id="12" xr3:uid="{00000000-0010-0000-0000-00000C000000}" name="Priority_or_Sample_Role"/>
    <tableColumn id="13" xr3:uid="{00000000-0010-0000-0000-00000D000000}" name="Initial_Metadata_Code"/>
    <tableColumn id="14" xr3:uid="{00000000-0010-0000-0000-00000E000000}" name="Vehicle_Context"/>
    <tableColumn id="15" xr3:uid="{00000000-0010-0000-0000-00000F000000}" name="Detail_URL"/>
    <tableColumn id="16" xr3:uid="{00000000-0010-0000-0000-000010000000}" name="Documents_URL"/>
    <tableColumn id="17" xr3:uid="{00000000-0010-0000-0000-000011000000}" name="Explanations_URL"/>
    <tableColumn id="18" xr3:uid="{00000000-0010-0000-0000-000012000000}" name="Result_or_Award_URL"/>
    <tableColumn id="19" xr3:uid="{00000000-0010-0000-0000-000013000000}" name="Source_URL"/>
    <tableColumn id="20" xr3:uid="{00000000-0010-0000-0000-000014000000}" name="Documents_Reviewed"/>
    <tableColumn id="21" xr3:uid="{00000000-0010-0000-0000-000015000000}" name="Document_Completeness"/>
    <tableColumn id="22" xr3:uid="{00000000-0010-0000-0000-000016000000}" name="Explicit_CV_Cybersecurity_Code"/>
    <tableColumn id="23" xr3:uid="{00000000-0010-0000-0000-000017000000}" name="Digital_Exposure_Code"/>
    <tableColumn id="24" xr3:uid="{00000000-0010-0000-0000-000018000000}" name="Overall_Finding_Class"/>
    <tableColumn id="25" xr3:uid="{00000000-0010-0000-0000-000019000000}" name="Direct_Cybersecurity_Requirement"/>
    <tableColumn id="26" xr3:uid="{00000000-0010-0000-0000-00001A000000}" name="R155_R156_Referenced"/>
    <tableColumn id="27" xr3:uid="{00000000-0010-0000-0000-00001B000000}" name="Telematics_or_Remote_Access"/>
    <tableColumn id="28" xr3:uid="{00000000-0010-0000-0000-00001C000000}" name="Location_or_Operational_Data"/>
    <tableColumn id="29" xr3:uid="{00000000-0010-0000-0000-00001D000000}" name="Supplier_Risk_or_Certification"/>
    <tableColumn id="30" xr3:uid="{00000000-0010-0000-0000-00001E000000}" name="Data_Deletion_or_Deactivation"/>
    <tableColumn id="31" xr3:uid="{00000000-0010-0000-0000-00001F000000}" name="kybernetická bezpečnost"/>
    <tableColumn id="32" xr3:uid="{00000000-0010-0000-0000-000020000000}" name="zranitelnost"/>
    <tableColumn id="33" xr3:uid="{00000000-0010-0000-0000-000021000000}" name="bezpečnostní aktualizace"/>
    <tableColumn id="34" xr3:uid="{00000000-0010-0000-0000-000022000000}" name="aktualizace softwaru"/>
    <tableColumn id="35" xr3:uid="{00000000-0010-0000-0000-000023000000}" name="OTA"/>
    <tableColumn id="36" xr3:uid="{00000000-0010-0000-0000-000024000000}" name="telematika"/>
    <tableColumn id="37" xr3:uid="{00000000-0010-0000-0000-000025000000}" name="vzdálená diagnostika"/>
    <tableColumn id="38" xr3:uid="{00000000-0010-0000-0000-000026000000}" name="vzdálený přístup"/>
    <tableColumn id="39" xr3:uid="{00000000-0010-0000-0000-000027000000}" name="cloud"/>
    <tableColumn id="40" xr3:uid="{00000000-0010-0000-0000-000028000000}" name="API"/>
    <tableColumn id="41" xr3:uid="{00000000-0010-0000-0000-000029000000}" name="GPS"/>
    <tableColumn id="42" xr3:uid="{00000000-0010-0000-0000-00002A000000}" name="lokalizační data"/>
    <tableColumn id="43" xr3:uid="{00000000-0010-0000-0000-00002B000000}" name="provozní data"/>
    <tableColumn id="44" xr3:uid="{00000000-0010-0000-0000-00002C000000}" name="mobilní aplikace"/>
    <tableColumn id="45" xr3:uid="{00000000-0010-0000-0000-00002D000000}" name="R155"/>
    <tableColumn id="46" xr3:uid="{00000000-0010-0000-0000-00002E000000}" name="R156"/>
    <tableColumn id="47" xr3:uid="{00000000-0010-0000-0000-00002F000000}" name="CSMS"/>
    <tableColumn id="48" xr3:uid="{00000000-0010-0000-0000-000030000000}" name="SUMS"/>
    <tableColumn id="49" xr3:uid="{00000000-0010-0000-0000-000031000000}" name="incident"/>
    <tableColumn id="50" xr3:uid="{00000000-0010-0000-0000-000032000000}" name="dodavatelské riziko"/>
    <tableColumn id="51" xr3:uid="{00000000-0010-0000-0000-000033000000}" name="mazání dat"/>
    <tableColumn id="52" xr3:uid="{00000000-0010-0000-0000-000034000000}" name="deaktivace služeb"/>
    <tableColumn id="53" xr3:uid="{00000000-0010-0000-0000-000035000000}" name="Keyword_Score"/>
    <tableColumn id="54" xr3:uid="{00000000-0010-0000-0000-000036000000}" name="Any_Explicit_Cybersecurity"/>
    <tableColumn id="55" xr3:uid="{00000000-0010-0000-0000-000037000000}" name="Key_Positive_Evidence"/>
    <tableColumn id="56" xr3:uid="{00000000-0010-0000-0000-000038000000}" name="Key_Missing_Cyber_Items"/>
    <tableColumn id="57" xr3:uid="{00000000-0010-0000-0000-000039000000}" name="Recommendation_Needed"/>
    <tableColumn id="58" xr3:uid="{00000000-0010-0000-0000-00003A000000}" name="Short_Conclusion"/>
    <tableColumn id="59" xr3:uid="{00000000-0010-0000-0000-00003B000000}" name="Analyst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bookTable" displayName="CodebookTable" ref="A1:C16">
  <tableColumns count="3">
    <tableColumn id="1" xr3:uid="{00000000-0010-0000-0100-000001000000}" name="Field / Code"/>
    <tableColumn id="2" xr3:uid="{00000000-0010-0000-0100-000002000000}" name="Meaning"/>
    <tableColumn id="3" xr3:uid="{00000000-0010-0000-0100-000003000000}" name="How to 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" displayName="SummaryTable" ref="A1:C8">
  <tableColumns count="3">
    <tableColumn id="1" xr3:uid="{00000000-0010-0000-0200-000001000000}" name="Metric"/>
    <tableColumn id="2" xr3:uid="{00000000-0010-0000-0200-000002000000}" name="Formula / Value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1"/>
  <sheetViews>
    <sheetView tabSelected="1" zoomScale="115" zoomScaleNormal="70" workbookViewId="0">
      <selection activeCell="F43" sqref="F43"/>
    </sheetView>
  </sheetViews>
  <sheetFormatPr baseColWidth="10" defaultColWidth="8.83203125" defaultRowHeight="14"/>
  <cols>
    <col min="1" max="1" width="18.83203125" bestFit="1" customWidth="1"/>
    <col min="2" max="2" width="12.33203125" bestFit="1" customWidth="1"/>
    <col min="3" max="3" width="17.33203125" bestFit="1" customWidth="1"/>
    <col min="4" max="5" width="15.83203125" bestFit="1" customWidth="1"/>
    <col min="6" max="6" width="182.33203125" bestFit="1" customWidth="1"/>
    <col min="7" max="7" width="82.1640625" bestFit="1" customWidth="1"/>
    <col min="8" max="8" width="92.1640625" bestFit="1" customWidth="1"/>
    <col min="9" max="9" width="34.83203125" bestFit="1" customWidth="1"/>
    <col min="10" max="10" width="13" bestFit="1" customWidth="1"/>
    <col min="11" max="11" width="23" bestFit="1" customWidth="1"/>
    <col min="12" max="12" width="17.83203125" bestFit="1" customWidth="1"/>
    <col min="13" max="13" width="13.6640625" bestFit="1" customWidth="1"/>
    <col min="14" max="14" width="171.6640625" customWidth="1"/>
    <col min="15" max="15" width="18.33203125" customWidth="1"/>
    <col min="16" max="16" width="19" customWidth="1"/>
    <col min="17" max="17" width="19.6640625" customWidth="1"/>
    <col min="18" max="18" width="16.6640625" customWidth="1"/>
    <col min="19" max="19" width="17.6640625" customWidth="1"/>
    <col min="20" max="20" width="134.6640625" bestFit="1" customWidth="1"/>
    <col min="21" max="21" width="123.33203125" bestFit="1" customWidth="1"/>
    <col min="22" max="22" width="15.6640625" bestFit="1" customWidth="1"/>
    <col min="23" max="23" width="15.83203125" bestFit="1" customWidth="1"/>
    <col min="24" max="24" width="66.83203125" bestFit="1" customWidth="1"/>
    <col min="25" max="25" width="16.6640625" bestFit="1" customWidth="1"/>
    <col min="26" max="27" width="15.6640625" bestFit="1" customWidth="1"/>
    <col min="28" max="28" width="15.83203125" bestFit="1" customWidth="1"/>
    <col min="29" max="29" width="29.33203125" customWidth="1"/>
    <col min="30" max="30" width="16" customWidth="1"/>
    <col min="31" max="31" width="12.1640625" bestFit="1" customWidth="1"/>
    <col min="32" max="32" width="11.1640625" bestFit="1" customWidth="1"/>
    <col min="33" max="33" width="12.6640625" bestFit="1" customWidth="1"/>
    <col min="34" max="34" width="10.6640625" bestFit="1" customWidth="1"/>
    <col min="35" max="35" width="4.6640625" bestFit="1" customWidth="1"/>
    <col min="36" max="36" width="10" bestFit="1" customWidth="1"/>
    <col min="37" max="37" width="10.83203125" bestFit="1" customWidth="1"/>
    <col min="38" max="38" width="8.6640625" bestFit="1" customWidth="1"/>
    <col min="39" max="39" width="5.6640625" bestFit="1" customWidth="1"/>
    <col min="40" max="40" width="3.83203125" bestFit="1" customWidth="1"/>
    <col min="41" max="41" width="4.6640625" bestFit="1" customWidth="1"/>
    <col min="42" max="42" width="14.33203125" bestFit="1" customWidth="1"/>
    <col min="43" max="43" width="12.6640625" bestFit="1" customWidth="1"/>
    <col min="44" max="44" width="8.1640625" bestFit="1" customWidth="1"/>
    <col min="45" max="46" width="5.1640625" bestFit="1" customWidth="1"/>
    <col min="47" max="48" width="6.1640625" bestFit="1" customWidth="1"/>
    <col min="49" max="49" width="7.83203125" bestFit="1" customWidth="1"/>
    <col min="50" max="50" width="12.5" bestFit="1" customWidth="1"/>
    <col min="51" max="52" width="10.33203125" bestFit="1" customWidth="1"/>
    <col min="53" max="53" width="15" bestFit="1" customWidth="1"/>
    <col min="54" max="54" width="15.33203125" bestFit="1" customWidth="1"/>
    <col min="55" max="55" width="214.6640625" bestFit="1" customWidth="1"/>
    <col min="56" max="56" width="120.33203125" bestFit="1" customWidth="1"/>
    <col min="57" max="57" width="15.33203125" bestFit="1" customWidth="1"/>
    <col min="58" max="58" width="106.1640625" bestFit="1" customWidth="1"/>
    <col min="59" max="59" width="148" bestFit="1" customWidth="1"/>
  </cols>
  <sheetData>
    <row r="1" spans="1:59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t="70">
      <c r="A2" s="3" t="s">
        <v>59</v>
      </c>
      <c r="B2" s="3" t="s">
        <v>60</v>
      </c>
      <c r="C2" s="3" t="s">
        <v>61</v>
      </c>
      <c r="D2" s="3" t="s">
        <v>62</v>
      </c>
      <c r="E2" s="3" t="s">
        <v>62</v>
      </c>
      <c r="F2" s="3" t="s">
        <v>701</v>
      </c>
      <c r="G2" s="3" t="s">
        <v>63</v>
      </c>
      <c r="H2" s="3" t="s">
        <v>63</v>
      </c>
      <c r="I2" s="3" t="s">
        <v>64</v>
      </c>
      <c r="J2" s="3">
        <v>2018</v>
      </c>
      <c r="K2" s="3" t="s">
        <v>65</v>
      </c>
      <c r="L2" s="3" t="s">
        <v>66</v>
      </c>
      <c r="M2" s="3">
        <v>0</v>
      </c>
      <c r="N2" s="3" t="s">
        <v>702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67</v>
      </c>
      <c r="T2" s="3" t="s">
        <v>703</v>
      </c>
      <c r="U2" s="3" t="s">
        <v>704</v>
      </c>
      <c r="V2" s="3">
        <v>2</v>
      </c>
      <c r="W2" s="3">
        <v>3</v>
      </c>
      <c r="X2" s="3" t="s">
        <v>705</v>
      </c>
      <c r="Y2" s="3" t="s">
        <v>498</v>
      </c>
      <c r="Z2" s="3" t="s">
        <v>498</v>
      </c>
      <c r="AA2" s="3" t="s">
        <v>499</v>
      </c>
      <c r="AB2" s="3" t="s">
        <v>499</v>
      </c>
      <c r="AC2" s="3" t="s">
        <v>498</v>
      </c>
      <c r="AD2" s="3" t="s">
        <v>498</v>
      </c>
      <c r="AE2" s="3">
        <v>0</v>
      </c>
      <c r="AF2" s="3">
        <v>0</v>
      </c>
      <c r="AG2" s="3">
        <v>0</v>
      </c>
      <c r="AH2" s="3">
        <v>2</v>
      </c>
      <c r="AI2" s="3">
        <v>0</v>
      </c>
      <c r="AJ2" s="3">
        <v>1</v>
      </c>
      <c r="AK2" s="3">
        <v>2</v>
      </c>
      <c r="AL2" s="3">
        <v>2</v>
      </c>
      <c r="AM2" s="3">
        <v>0</v>
      </c>
      <c r="AN2" s="3">
        <v>0</v>
      </c>
      <c r="AO2" s="3">
        <v>2</v>
      </c>
      <c r="AP2" s="3">
        <v>2</v>
      </c>
      <c r="AQ2" s="3">
        <v>1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12</v>
      </c>
      <c r="BB2" s="3" t="s">
        <v>498</v>
      </c>
      <c r="BC2" s="3" t="s">
        <v>706</v>
      </c>
      <c r="BD2" s="3" t="s">
        <v>707</v>
      </c>
      <c r="BE2" s="3" t="s">
        <v>499</v>
      </c>
      <c r="BF2" s="3" t="s">
        <v>708</v>
      </c>
      <c r="BG2" s="3" t="s">
        <v>709</v>
      </c>
    </row>
    <row r="3" spans="1:59" ht="70">
      <c r="A3" s="3" t="s">
        <v>71</v>
      </c>
      <c r="B3" s="3" t="s">
        <v>60</v>
      </c>
      <c r="C3" s="3" t="s">
        <v>61</v>
      </c>
      <c r="D3" s="3" t="s">
        <v>72</v>
      </c>
      <c r="E3" s="3" t="s">
        <v>72</v>
      </c>
      <c r="F3" s="3" t="s">
        <v>557</v>
      </c>
      <c r="G3" s="3" t="s">
        <v>73</v>
      </c>
      <c r="H3" s="3" t="s">
        <v>493</v>
      </c>
      <c r="I3" s="3" t="s">
        <v>64</v>
      </c>
      <c r="J3" s="3">
        <v>2018</v>
      </c>
      <c r="K3" s="3" t="s">
        <v>65</v>
      </c>
      <c r="L3" s="3" t="s">
        <v>66</v>
      </c>
      <c r="M3" s="3">
        <v>0</v>
      </c>
      <c r="N3" s="3" t="s">
        <v>494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74</v>
      </c>
      <c r="T3" s="3" t="s">
        <v>495</v>
      </c>
      <c r="U3" s="3" t="s">
        <v>496</v>
      </c>
      <c r="V3" s="3">
        <v>2</v>
      </c>
      <c r="W3" s="3">
        <v>3</v>
      </c>
      <c r="X3" s="3" t="s">
        <v>497</v>
      </c>
      <c r="Y3" s="3" t="s">
        <v>498</v>
      </c>
      <c r="Z3" s="3" t="s">
        <v>498</v>
      </c>
      <c r="AA3" s="3" t="s">
        <v>499</v>
      </c>
      <c r="AB3" s="3" t="s">
        <v>499</v>
      </c>
      <c r="AC3" s="3" t="s">
        <v>499</v>
      </c>
      <c r="AD3" s="3" t="s">
        <v>498</v>
      </c>
      <c r="AE3" s="3">
        <v>0</v>
      </c>
      <c r="AF3" s="3">
        <v>0</v>
      </c>
      <c r="AG3" s="3">
        <v>0</v>
      </c>
      <c r="AH3" s="3">
        <v>2</v>
      </c>
      <c r="AI3" s="3">
        <v>0</v>
      </c>
      <c r="AJ3" s="3">
        <v>1</v>
      </c>
      <c r="AK3" s="3">
        <v>1</v>
      </c>
      <c r="AL3" s="3">
        <v>1</v>
      </c>
      <c r="AM3" s="3">
        <v>0</v>
      </c>
      <c r="AN3" s="3">
        <v>0</v>
      </c>
      <c r="AO3" s="3">
        <v>1</v>
      </c>
      <c r="AP3" s="3">
        <v>1</v>
      </c>
      <c r="AQ3" s="3">
        <v>1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1</v>
      </c>
      <c r="AY3" s="3">
        <v>0</v>
      </c>
      <c r="AZ3" s="3">
        <v>0</v>
      </c>
      <c r="BA3" s="3">
        <v>9</v>
      </c>
      <c r="BB3" s="3" t="s">
        <v>498</v>
      </c>
      <c r="BC3" s="3" t="s">
        <v>500</v>
      </c>
      <c r="BD3" s="3" t="s">
        <v>501</v>
      </c>
      <c r="BE3" s="3" t="s">
        <v>499</v>
      </c>
      <c r="BF3" s="3" t="s">
        <v>502</v>
      </c>
      <c r="BG3" s="3" t="s">
        <v>503</v>
      </c>
    </row>
    <row r="4" spans="1:59" ht="70">
      <c r="A4" s="3" t="s">
        <v>78</v>
      </c>
      <c r="B4" s="3" t="s">
        <v>60</v>
      </c>
      <c r="C4" s="3" t="s">
        <v>61</v>
      </c>
      <c r="D4" s="3" t="s">
        <v>79</v>
      </c>
      <c r="E4" s="3" t="s">
        <v>79</v>
      </c>
      <c r="F4" s="3" t="s">
        <v>692</v>
      </c>
      <c r="G4" s="3" t="s">
        <v>80</v>
      </c>
      <c r="H4" s="3" t="s">
        <v>80</v>
      </c>
      <c r="I4" s="3" t="s">
        <v>81</v>
      </c>
      <c r="J4" s="3">
        <v>2018</v>
      </c>
      <c r="K4" s="3" t="s">
        <v>82</v>
      </c>
      <c r="L4" s="3" t="s">
        <v>83</v>
      </c>
      <c r="M4" s="3">
        <v>0</v>
      </c>
      <c r="N4" s="3" t="s">
        <v>693</v>
      </c>
      <c r="O4" s="3" t="s">
        <v>84</v>
      </c>
      <c r="P4" s="3" t="s">
        <v>85</v>
      </c>
      <c r="Q4" s="3" t="s">
        <v>86</v>
      </c>
      <c r="R4" s="3" t="s">
        <v>87</v>
      </c>
      <c r="S4" s="3" t="s">
        <v>84</v>
      </c>
      <c r="T4" s="3" t="s">
        <v>694</v>
      </c>
      <c r="U4" s="3" t="s">
        <v>695</v>
      </c>
      <c r="V4" s="3">
        <v>1</v>
      </c>
      <c r="W4" s="3">
        <v>1</v>
      </c>
      <c r="X4" s="3" t="s">
        <v>696</v>
      </c>
      <c r="Y4" s="3" t="s">
        <v>498</v>
      </c>
      <c r="Z4" s="3" t="s">
        <v>498</v>
      </c>
      <c r="AA4" s="3" t="s">
        <v>498</v>
      </c>
      <c r="AB4" s="3" t="s">
        <v>499</v>
      </c>
      <c r="AC4" s="3" t="s">
        <v>499</v>
      </c>
      <c r="AD4" s="3" t="s">
        <v>498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2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1</v>
      </c>
      <c r="AY4" s="3">
        <v>0</v>
      </c>
      <c r="AZ4" s="3">
        <v>0</v>
      </c>
      <c r="BA4" s="3">
        <v>3</v>
      </c>
      <c r="BB4" s="3" t="s">
        <v>498</v>
      </c>
      <c r="BC4" s="3" t="s">
        <v>697</v>
      </c>
      <c r="BD4" s="3" t="s">
        <v>698</v>
      </c>
      <c r="BE4" s="3" t="s">
        <v>498</v>
      </c>
      <c r="BF4" s="3" t="s">
        <v>699</v>
      </c>
      <c r="BG4" s="3" t="s">
        <v>700</v>
      </c>
    </row>
    <row r="5" spans="1:59" ht="70">
      <c r="A5" s="3" t="s">
        <v>88</v>
      </c>
      <c r="B5" s="3" t="s">
        <v>60</v>
      </c>
      <c r="C5" s="3" t="s">
        <v>61</v>
      </c>
      <c r="D5" s="3" t="s">
        <v>89</v>
      </c>
      <c r="E5" s="3" t="s">
        <v>89</v>
      </c>
      <c r="F5" s="3" t="s">
        <v>683</v>
      </c>
      <c r="G5" s="3" t="s">
        <v>90</v>
      </c>
      <c r="H5" s="3" t="s">
        <v>90</v>
      </c>
      <c r="I5" s="3" t="s">
        <v>91</v>
      </c>
      <c r="J5" s="3">
        <v>2018</v>
      </c>
      <c r="K5" s="3" t="s">
        <v>92</v>
      </c>
      <c r="L5" s="3" t="s">
        <v>83</v>
      </c>
      <c r="M5" s="3">
        <v>0</v>
      </c>
      <c r="N5" s="3" t="s">
        <v>684</v>
      </c>
      <c r="O5" s="3" t="s">
        <v>93</v>
      </c>
      <c r="P5" s="3" t="s">
        <v>94</v>
      </c>
      <c r="Q5" s="3" t="s">
        <v>95</v>
      </c>
      <c r="R5" s="3" t="s">
        <v>96</v>
      </c>
      <c r="S5" s="3" t="s">
        <v>93</v>
      </c>
      <c r="T5" s="3" t="s">
        <v>685</v>
      </c>
      <c r="U5" s="3" t="s">
        <v>686</v>
      </c>
      <c r="V5" s="3">
        <v>1</v>
      </c>
      <c r="W5" s="3">
        <v>1</v>
      </c>
      <c r="X5" s="3" t="s">
        <v>687</v>
      </c>
      <c r="Y5" s="3" t="s">
        <v>498</v>
      </c>
      <c r="Z5" s="3" t="s">
        <v>498</v>
      </c>
      <c r="AA5" s="3" t="s">
        <v>498</v>
      </c>
      <c r="AB5" s="3" t="s">
        <v>498</v>
      </c>
      <c r="AC5" s="3" t="s">
        <v>499</v>
      </c>
      <c r="AD5" s="3" t="s">
        <v>498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1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1</v>
      </c>
      <c r="AY5" s="3">
        <v>0</v>
      </c>
      <c r="AZ5" s="3">
        <v>0</v>
      </c>
      <c r="BA5" s="3">
        <v>2</v>
      </c>
      <c r="BB5" s="3" t="s">
        <v>498</v>
      </c>
      <c r="BC5" s="3" t="s">
        <v>688</v>
      </c>
      <c r="BD5" s="3" t="s">
        <v>689</v>
      </c>
      <c r="BE5" s="3" t="s">
        <v>498</v>
      </c>
      <c r="BF5" s="3" t="s">
        <v>690</v>
      </c>
      <c r="BG5" s="3" t="s">
        <v>691</v>
      </c>
    </row>
    <row r="6" spans="1:59" ht="70">
      <c r="A6" s="3" t="s">
        <v>97</v>
      </c>
      <c r="B6" s="3" t="s">
        <v>60</v>
      </c>
      <c r="C6" s="3" t="s">
        <v>61</v>
      </c>
      <c r="D6" s="3" t="s">
        <v>98</v>
      </c>
      <c r="E6" s="3" t="s">
        <v>98</v>
      </c>
      <c r="F6" s="3" t="s">
        <v>674</v>
      </c>
      <c r="G6" s="3" t="s">
        <v>99</v>
      </c>
      <c r="H6" s="3" t="s">
        <v>99</v>
      </c>
      <c r="I6" s="3" t="s">
        <v>100</v>
      </c>
      <c r="J6" s="3">
        <v>2018</v>
      </c>
      <c r="K6" s="3" t="s">
        <v>82</v>
      </c>
      <c r="L6" s="3" t="s">
        <v>83</v>
      </c>
      <c r="M6" s="3">
        <v>0</v>
      </c>
      <c r="N6" s="3" t="s">
        <v>675</v>
      </c>
      <c r="O6" s="3" t="s">
        <v>101</v>
      </c>
      <c r="P6" s="3" t="s">
        <v>102</v>
      </c>
      <c r="Q6" s="3" t="s">
        <v>103</v>
      </c>
      <c r="R6" s="3" t="s">
        <v>104</v>
      </c>
      <c r="S6" s="3" t="s">
        <v>101</v>
      </c>
      <c r="T6" s="3" t="s">
        <v>676</v>
      </c>
      <c r="U6" s="3" t="s">
        <v>677</v>
      </c>
      <c r="V6" s="3">
        <v>1</v>
      </c>
      <c r="W6" s="3">
        <v>1</v>
      </c>
      <c r="X6" s="3" t="s">
        <v>678</v>
      </c>
      <c r="Y6" s="3" t="s">
        <v>498</v>
      </c>
      <c r="Z6" s="3" t="s">
        <v>498</v>
      </c>
      <c r="AA6" s="3" t="s">
        <v>498</v>
      </c>
      <c r="AB6" s="3" t="s">
        <v>498</v>
      </c>
      <c r="AC6" s="3" t="s">
        <v>498</v>
      </c>
      <c r="AD6" s="3" t="s">
        <v>498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 t="s">
        <v>498</v>
      </c>
      <c r="BC6" s="3" t="s">
        <v>679</v>
      </c>
      <c r="BD6" s="3" t="s">
        <v>680</v>
      </c>
      <c r="BE6" s="3" t="s">
        <v>498</v>
      </c>
      <c r="BF6" s="3" t="s">
        <v>681</v>
      </c>
      <c r="BG6" s="3" t="s">
        <v>682</v>
      </c>
    </row>
    <row r="7" spans="1:59" ht="70">
      <c r="A7" s="3" t="s">
        <v>105</v>
      </c>
      <c r="B7" s="3" t="s">
        <v>60</v>
      </c>
      <c r="C7" s="3" t="s">
        <v>61</v>
      </c>
      <c r="D7" s="3" t="s">
        <v>106</v>
      </c>
      <c r="E7" s="3" t="s">
        <v>106</v>
      </c>
      <c r="F7" s="3" t="s">
        <v>665</v>
      </c>
      <c r="G7" s="3" t="s">
        <v>107</v>
      </c>
      <c r="H7" s="3" t="s">
        <v>666</v>
      </c>
      <c r="I7" s="3" t="s">
        <v>64</v>
      </c>
      <c r="J7" s="3">
        <v>2019</v>
      </c>
      <c r="K7" s="3" t="s">
        <v>65</v>
      </c>
      <c r="L7" s="3" t="s">
        <v>66</v>
      </c>
      <c r="M7" s="3">
        <v>0</v>
      </c>
      <c r="N7" s="3" t="s">
        <v>667</v>
      </c>
      <c r="O7" s="3" t="s">
        <v>108</v>
      </c>
      <c r="P7" s="3" t="s">
        <v>109</v>
      </c>
      <c r="Q7" s="3" t="s">
        <v>110</v>
      </c>
      <c r="R7" s="3" t="s">
        <v>111</v>
      </c>
      <c r="S7" s="3" t="s">
        <v>108</v>
      </c>
      <c r="T7" s="3" t="s">
        <v>668</v>
      </c>
      <c r="U7" s="3" t="s">
        <v>669</v>
      </c>
      <c r="V7" s="3">
        <v>1</v>
      </c>
      <c r="W7" s="3">
        <v>1</v>
      </c>
      <c r="X7" s="3" t="s">
        <v>670</v>
      </c>
      <c r="Y7" s="3" t="s">
        <v>498</v>
      </c>
      <c r="Z7" s="3" t="s">
        <v>498</v>
      </c>
      <c r="AA7" s="3" t="s">
        <v>498</v>
      </c>
      <c r="AB7" s="3" t="s">
        <v>498</v>
      </c>
      <c r="AC7" s="3" t="s">
        <v>499</v>
      </c>
      <c r="AD7" s="3" t="s">
        <v>498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1</v>
      </c>
      <c r="AY7" s="3">
        <v>0</v>
      </c>
      <c r="AZ7" s="3">
        <v>0</v>
      </c>
      <c r="BA7" s="3">
        <v>2</v>
      </c>
      <c r="BB7" s="3" t="s">
        <v>498</v>
      </c>
      <c r="BC7" s="3" t="s">
        <v>671</v>
      </c>
      <c r="BD7" s="3" t="s">
        <v>672</v>
      </c>
      <c r="BE7" s="3" t="s">
        <v>498</v>
      </c>
      <c r="BF7" s="3" t="s">
        <v>673</v>
      </c>
      <c r="BG7" s="3" t="s">
        <v>939</v>
      </c>
    </row>
    <row r="8" spans="1:59" ht="70">
      <c r="A8" s="3" t="s">
        <v>112</v>
      </c>
      <c r="B8" s="3" t="s">
        <v>60</v>
      </c>
      <c r="C8" s="3" t="s">
        <v>61</v>
      </c>
      <c r="D8" s="3" t="s">
        <v>113</v>
      </c>
      <c r="E8" s="3" t="s">
        <v>113</v>
      </c>
      <c r="F8" s="3" t="s">
        <v>656</v>
      </c>
      <c r="G8" s="3" t="s">
        <v>114</v>
      </c>
      <c r="H8" s="3" t="s">
        <v>114</v>
      </c>
      <c r="I8" s="3" t="s">
        <v>91</v>
      </c>
      <c r="J8" s="3">
        <v>2020</v>
      </c>
      <c r="K8" s="3" t="s">
        <v>82</v>
      </c>
      <c r="L8" s="3" t="s">
        <v>83</v>
      </c>
      <c r="M8" s="3">
        <v>0</v>
      </c>
      <c r="N8" s="3" t="s">
        <v>657</v>
      </c>
      <c r="O8" s="3" t="s">
        <v>115</v>
      </c>
      <c r="P8" s="3" t="s">
        <v>116</v>
      </c>
      <c r="Q8" s="3" t="s">
        <v>117</v>
      </c>
      <c r="R8" s="3" t="s">
        <v>118</v>
      </c>
      <c r="S8" s="3" t="s">
        <v>115</v>
      </c>
      <c r="T8" s="3" t="s">
        <v>658</v>
      </c>
      <c r="U8" s="3" t="s">
        <v>659</v>
      </c>
      <c r="V8" s="3">
        <v>2</v>
      </c>
      <c r="W8" s="3">
        <v>2</v>
      </c>
      <c r="X8" s="3" t="s">
        <v>660</v>
      </c>
      <c r="Y8" s="3" t="s">
        <v>498</v>
      </c>
      <c r="Z8" s="3" t="s">
        <v>498</v>
      </c>
      <c r="AA8" s="3" t="s">
        <v>498</v>
      </c>
      <c r="AB8" s="3" t="s">
        <v>499</v>
      </c>
      <c r="AC8" s="3" t="s">
        <v>499</v>
      </c>
      <c r="AD8" s="3" t="s">
        <v>498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2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1</v>
      </c>
      <c r="AY8" s="3">
        <v>0</v>
      </c>
      <c r="AZ8" s="3">
        <v>0</v>
      </c>
      <c r="BA8" s="3">
        <v>3</v>
      </c>
      <c r="BB8" s="3" t="s">
        <v>498</v>
      </c>
      <c r="BC8" s="3" t="s">
        <v>661</v>
      </c>
      <c r="BD8" s="3" t="s">
        <v>662</v>
      </c>
      <c r="BE8" s="3" t="s">
        <v>498</v>
      </c>
      <c r="BF8" s="3" t="s">
        <v>663</v>
      </c>
      <c r="BG8" s="3" t="s">
        <v>664</v>
      </c>
    </row>
    <row r="9" spans="1:59" ht="70">
      <c r="A9" s="3" t="s">
        <v>119</v>
      </c>
      <c r="B9" s="3" t="s">
        <v>60</v>
      </c>
      <c r="C9" s="3" t="s">
        <v>61</v>
      </c>
      <c r="D9" s="3" t="s">
        <v>120</v>
      </c>
      <c r="E9" s="3" t="s">
        <v>120</v>
      </c>
      <c r="F9" s="3" t="s">
        <v>647</v>
      </c>
      <c r="G9" s="3" t="s">
        <v>121</v>
      </c>
      <c r="H9" s="3" t="s">
        <v>121</v>
      </c>
      <c r="I9" s="3" t="s">
        <v>91</v>
      </c>
      <c r="J9" s="3">
        <v>2021</v>
      </c>
      <c r="K9" s="3" t="s">
        <v>82</v>
      </c>
      <c r="L9" s="3" t="s">
        <v>83</v>
      </c>
      <c r="M9" s="3">
        <v>0</v>
      </c>
      <c r="N9" s="3" t="s">
        <v>648</v>
      </c>
      <c r="O9" s="3" t="s">
        <v>122</v>
      </c>
      <c r="P9" s="3" t="s">
        <v>123</v>
      </c>
      <c r="Q9" s="3" t="s">
        <v>124</v>
      </c>
      <c r="R9" s="3" t="s">
        <v>125</v>
      </c>
      <c r="S9" s="3" t="s">
        <v>122</v>
      </c>
      <c r="T9" s="3" t="s">
        <v>649</v>
      </c>
      <c r="U9" s="3" t="s">
        <v>650</v>
      </c>
      <c r="V9" s="3">
        <v>2</v>
      </c>
      <c r="W9" s="3">
        <v>2</v>
      </c>
      <c r="X9" s="3" t="s">
        <v>651</v>
      </c>
      <c r="Y9" s="3" t="s">
        <v>498</v>
      </c>
      <c r="Z9" s="3" t="s">
        <v>498</v>
      </c>
      <c r="AA9" s="3" t="s">
        <v>498</v>
      </c>
      <c r="AB9" s="3" t="s">
        <v>499</v>
      </c>
      <c r="AC9" s="3" t="s">
        <v>499</v>
      </c>
      <c r="AD9" s="3" t="s">
        <v>498</v>
      </c>
      <c r="AE9" s="3">
        <v>0</v>
      </c>
      <c r="AF9" s="3">
        <v>0</v>
      </c>
      <c r="AG9" s="3">
        <v>0</v>
      </c>
      <c r="AH9" s="3">
        <v>2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2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1</v>
      </c>
      <c r="AY9" s="3">
        <v>0</v>
      </c>
      <c r="AZ9" s="3">
        <v>0</v>
      </c>
      <c r="BA9" s="3">
        <v>5</v>
      </c>
      <c r="BB9" s="3" t="s">
        <v>498</v>
      </c>
      <c r="BC9" s="3" t="s">
        <v>652</v>
      </c>
      <c r="BD9" s="3" t="s">
        <v>653</v>
      </c>
      <c r="BE9" s="3" t="s">
        <v>499</v>
      </c>
      <c r="BF9" s="3" t="s">
        <v>654</v>
      </c>
      <c r="BG9" s="3" t="s">
        <v>655</v>
      </c>
    </row>
    <row r="10" spans="1:59" ht="70">
      <c r="A10" s="3" t="s">
        <v>126</v>
      </c>
      <c r="B10" s="3" t="s">
        <v>60</v>
      </c>
      <c r="C10" s="3" t="s">
        <v>61</v>
      </c>
      <c r="D10" s="3" t="s">
        <v>127</v>
      </c>
      <c r="E10" s="3" t="s">
        <v>127</v>
      </c>
      <c r="F10" s="3" t="s">
        <v>637</v>
      </c>
      <c r="G10" s="3" t="s">
        <v>128</v>
      </c>
      <c r="H10" s="3" t="s">
        <v>638</v>
      </c>
      <c r="I10" s="3" t="s">
        <v>81</v>
      </c>
      <c r="J10" s="3">
        <v>2021</v>
      </c>
      <c r="K10" s="3" t="s">
        <v>82</v>
      </c>
      <c r="L10" s="3" t="s">
        <v>83</v>
      </c>
      <c r="M10" s="3">
        <v>0</v>
      </c>
      <c r="N10" s="3" t="s">
        <v>639</v>
      </c>
      <c r="O10" s="3" t="s">
        <v>129</v>
      </c>
      <c r="P10" s="3" t="s">
        <v>130</v>
      </c>
      <c r="Q10" s="3" t="s">
        <v>131</v>
      </c>
      <c r="R10" s="3" t="s">
        <v>132</v>
      </c>
      <c r="S10" s="3" t="s">
        <v>129</v>
      </c>
      <c r="T10" s="3" t="s">
        <v>640</v>
      </c>
      <c r="U10" s="3" t="s">
        <v>641</v>
      </c>
      <c r="V10" s="3">
        <v>2</v>
      </c>
      <c r="W10" s="3">
        <v>2</v>
      </c>
      <c r="X10" s="3" t="s">
        <v>642</v>
      </c>
      <c r="Y10" s="3" t="s">
        <v>498</v>
      </c>
      <c r="Z10" s="3" t="s">
        <v>498</v>
      </c>
      <c r="AA10" s="3" t="s">
        <v>498</v>
      </c>
      <c r="AB10" s="3" t="s">
        <v>499</v>
      </c>
      <c r="AC10" s="3" t="s">
        <v>499</v>
      </c>
      <c r="AD10" s="3" t="s">
        <v>498</v>
      </c>
      <c r="AE10" s="3">
        <v>0</v>
      </c>
      <c r="AF10" s="3">
        <v>0</v>
      </c>
      <c r="AG10" s="3">
        <v>0</v>
      </c>
      <c r="AH10" s="3">
        <v>2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2</v>
      </c>
      <c r="AP10" s="3">
        <v>1</v>
      </c>
      <c r="AQ10" s="3">
        <v>2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1</v>
      </c>
      <c r="AY10" s="3">
        <v>0</v>
      </c>
      <c r="AZ10" s="3">
        <v>0</v>
      </c>
      <c r="BA10" s="3">
        <v>8</v>
      </c>
      <c r="BB10" s="3" t="s">
        <v>498</v>
      </c>
      <c r="BC10" s="3" t="s">
        <v>643</v>
      </c>
      <c r="BD10" s="3" t="s">
        <v>644</v>
      </c>
      <c r="BE10" s="3" t="s">
        <v>498</v>
      </c>
      <c r="BF10" s="3" t="s">
        <v>645</v>
      </c>
      <c r="BG10" s="3" t="s">
        <v>646</v>
      </c>
    </row>
    <row r="11" spans="1:59" ht="70">
      <c r="A11" s="3" t="s">
        <v>133</v>
      </c>
      <c r="B11" s="3" t="s">
        <v>60</v>
      </c>
      <c r="C11" s="3" t="s">
        <v>61</v>
      </c>
      <c r="D11" s="3" t="s">
        <v>134</v>
      </c>
      <c r="E11" s="3" t="s">
        <v>134</v>
      </c>
      <c r="F11" s="3" t="s">
        <v>628</v>
      </c>
      <c r="G11" s="3" t="s">
        <v>135</v>
      </c>
      <c r="H11" s="3" t="s">
        <v>135</v>
      </c>
      <c r="I11" s="3" t="s">
        <v>136</v>
      </c>
      <c r="J11" s="3">
        <v>2021</v>
      </c>
      <c r="K11" s="3" t="s">
        <v>137</v>
      </c>
      <c r="L11" s="3" t="s">
        <v>66</v>
      </c>
      <c r="M11" s="3">
        <v>0</v>
      </c>
      <c r="N11" s="3" t="s">
        <v>629</v>
      </c>
      <c r="O11" s="3" t="s">
        <v>138</v>
      </c>
      <c r="P11" s="3" t="s">
        <v>139</v>
      </c>
      <c r="Q11" s="3" t="s">
        <v>140</v>
      </c>
      <c r="R11" s="3" t="s">
        <v>141</v>
      </c>
      <c r="S11" s="3" t="s">
        <v>138</v>
      </c>
      <c r="T11" s="3" t="s">
        <v>630</v>
      </c>
      <c r="U11" s="3" t="s">
        <v>631</v>
      </c>
      <c r="V11" s="3">
        <v>1</v>
      </c>
      <c r="W11" s="3">
        <v>1</v>
      </c>
      <c r="X11" s="3" t="s">
        <v>632</v>
      </c>
      <c r="Y11" s="3" t="s">
        <v>498</v>
      </c>
      <c r="Z11" s="3" t="s">
        <v>498</v>
      </c>
      <c r="AA11" s="3" t="s">
        <v>498</v>
      </c>
      <c r="AB11" s="3" t="s">
        <v>498</v>
      </c>
      <c r="AC11" s="3" t="s">
        <v>498</v>
      </c>
      <c r="AD11" s="3" t="s">
        <v>498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 t="s">
        <v>498</v>
      </c>
      <c r="BC11" s="3" t="s">
        <v>633</v>
      </c>
      <c r="BD11" s="3" t="s">
        <v>634</v>
      </c>
      <c r="BE11" s="3" t="s">
        <v>498</v>
      </c>
      <c r="BF11" s="3" t="s">
        <v>635</v>
      </c>
      <c r="BG11" s="3" t="s">
        <v>636</v>
      </c>
    </row>
    <row r="12" spans="1:59" ht="70">
      <c r="A12" s="3" t="s">
        <v>142</v>
      </c>
      <c r="B12" s="3" t="s">
        <v>60</v>
      </c>
      <c r="C12" s="3" t="s">
        <v>61</v>
      </c>
      <c r="D12" s="3" t="s">
        <v>143</v>
      </c>
      <c r="E12" s="3" t="s">
        <v>143</v>
      </c>
      <c r="F12" s="3" t="s">
        <v>620</v>
      </c>
      <c r="G12" s="3" t="s">
        <v>144</v>
      </c>
      <c r="H12" s="3" t="s">
        <v>144</v>
      </c>
      <c r="I12" s="3" t="s">
        <v>64</v>
      </c>
      <c r="J12" s="3">
        <v>2022</v>
      </c>
      <c r="K12" s="3" t="s">
        <v>65</v>
      </c>
      <c r="L12" s="3" t="s">
        <v>66</v>
      </c>
      <c r="M12" s="3">
        <v>0</v>
      </c>
      <c r="N12" s="3" t="s">
        <v>621</v>
      </c>
      <c r="O12" s="3" t="s">
        <v>145</v>
      </c>
      <c r="P12" s="3" t="s">
        <v>146</v>
      </c>
      <c r="Q12" s="3" t="s">
        <v>147</v>
      </c>
      <c r="R12" s="3" t="s">
        <v>148</v>
      </c>
      <c r="S12" s="3" t="s">
        <v>145</v>
      </c>
      <c r="T12" s="3" t="s">
        <v>622</v>
      </c>
      <c r="U12" s="3" t="s">
        <v>623</v>
      </c>
      <c r="V12" s="3">
        <v>2</v>
      </c>
      <c r="W12" s="3">
        <v>3</v>
      </c>
      <c r="X12" s="3" t="s">
        <v>624</v>
      </c>
      <c r="Y12" s="3" t="s">
        <v>498</v>
      </c>
      <c r="Z12" s="3" t="s">
        <v>498</v>
      </c>
      <c r="AA12" s="3" t="s">
        <v>499</v>
      </c>
      <c r="AB12" s="3" t="s">
        <v>499</v>
      </c>
      <c r="AC12" s="3" t="s">
        <v>499</v>
      </c>
      <c r="AD12" s="3" t="s">
        <v>498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2</v>
      </c>
      <c r="AK12" s="3">
        <v>0</v>
      </c>
      <c r="AL12" s="3">
        <v>0</v>
      </c>
      <c r="AM12" s="3">
        <v>0</v>
      </c>
      <c r="AN12" s="3">
        <v>0</v>
      </c>
      <c r="AO12" s="3">
        <v>2</v>
      </c>
      <c r="AP12" s="3">
        <v>2</v>
      </c>
      <c r="AQ12" s="3">
        <v>2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3">
        <v>0</v>
      </c>
      <c r="AZ12" s="3">
        <v>0</v>
      </c>
      <c r="BA12" s="3">
        <v>9</v>
      </c>
      <c r="BB12" s="3" t="s">
        <v>498</v>
      </c>
      <c r="BC12" s="3" t="s">
        <v>625</v>
      </c>
      <c r="BD12" s="3" t="s">
        <v>626</v>
      </c>
      <c r="BE12" s="3" t="s">
        <v>498</v>
      </c>
      <c r="BF12" s="3" t="s">
        <v>627</v>
      </c>
      <c r="BG12" s="3" t="s">
        <v>938</v>
      </c>
    </row>
    <row r="13" spans="1:59" ht="70">
      <c r="A13" s="3" t="s">
        <v>149</v>
      </c>
      <c r="B13" s="3" t="s">
        <v>60</v>
      </c>
      <c r="C13" s="3" t="s">
        <v>61</v>
      </c>
      <c r="D13" s="3" t="s">
        <v>150</v>
      </c>
      <c r="E13" s="3" t="s">
        <v>150</v>
      </c>
      <c r="F13" s="3" t="s">
        <v>611</v>
      </c>
      <c r="G13" s="3" t="s">
        <v>151</v>
      </c>
      <c r="H13" s="3" t="s">
        <v>151</v>
      </c>
      <c r="I13" s="3" t="s">
        <v>64</v>
      </c>
      <c r="J13" s="3">
        <v>2022</v>
      </c>
      <c r="K13" s="3" t="s">
        <v>65</v>
      </c>
      <c r="L13" s="3" t="s">
        <v>66</v>
      </c>
      <c r="M13" s="3">
        <v>0</v>
      </c>
      <c r="N13" s="3" t="s">
        <v>612</v>
      </c>
      <c r="O13" s="3" t="s">
        <v>152</v>
      </c>
      <c r="P13" s="3" t="s">
        <v>153</v>
      </c>
      <c r="Q13" s="3" t="s">
        <v>154</v>
      </c>
      <c r="R13" s="3" t="s">
        <v>155</v>
      </c>
      <c r="S13" s="3" t="s">
        <v>152</v>
      </c>
      <c r="T13" s="3" t="s">
        <v>613</v>
      </c>
      <c r="U13" s="3" t="s">
        <v>614</v>
      </c>
      <c r="V13" s="3">
        <v>2</v>
      </c>
      <c r="W13" s="3">
        <v>2</v>
      </c>
      <c r="X13" s="3" t="s">
        <v>615</v>
      </c>
      <c r="Y13" s="3" t="s">
        <v>498</v>
      </c>
      <c r="Z13" s="3" t="s">
        <v>498</v>
      </c>
      <c r="AA13" s="3" t="s">
        <v>499</v>
      </c>
      <c r="AB13" s="3" t="s">
        <v>499</v>
      </c>
      <c r="AC13" s="3" t="s">
        <v>499</v>
      </c>
      <c r="AD13" s="3" t="s">
        <v>498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0</v>
      </c>
      <c r="AL13" s="3">
        <v>0</v>
      </c>
      <c r="AM13" s="3">
        <v>0</v>
      </c>
      <c r="AN13" s="3">
        <v>0</v>
      </c>
      <c r="AO13" s="3">
        <v>2</v>
      </c>
      <c r="AP13" s="3">
        <v>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1</v>
      </c>
      <c r="AY13" s="3">
        <v>0</v>
      </c>
      <c r="AZ13" s="3">
        <v>0</v>
      </c>
      <c r="BA13" s="3">
        <v>5</v>
      </c>
      <c r="BB13" s="3" t="s">
        <v>498</v>
      </c>
      <c r="BC13" s="3" t="s">
        <v>616</v>
      </c>
      <c r="BD13" s="3" t="s">
        <v>617</v>
      </c>
      <c r="BE13" s="3" t="s">
        <v>498</v>
      </c>
      <c r="BF13" s="3" t="s">
        <v>618</v>
      </c>
      <c r="BG13" s="3" t="s">
        <v>619</v>
      </c>
    </row>
    <row r="14" spans="1:59" ht="70">
      <c r="A14" s="3" t="s">
        <v>156</v>
      </c>
      <c r="B14" s="3" t="s">
        <v>60</v>
      </c>
      <c r="C14" s="3" t="s">
        <v>61</v>
      </c>
      <c r="D14" s="3" t="s">
        <v>157</v>
      </c>
      <c r="E14" s="3" t="s">
        <v>157</v>
      </c>
      <c r="F14" s="3" t="s">
        <v>602</v>
      </c>
      <c r="G14" s="3" t="s">
        <v>158</v>
      </c>
      <c r="H14" s="3" t="s">
        <v>158</v>
      </c>
      <c r="I14" s="3" t="s">
        <v>159</v>
      </c>
      <c r="J14" s="3">
        <v>2022</v>
      </c>
      <c r="K14" s="3" t="s">
        <v>160</v>
      </c>
      <c r="L14" s="3" t="s">
        <v>161</v>
      </c>
      <c r="M14" s="3">
        <v>0</v>
      </c>
      <c r="N14" s="3" t="s">
        <v>603</v>
      </c>
      <c r="O14" s="3" t="s">
        <v>162</v>
      </c>
      <c r="P14" s="3" t="s">
        <v>163</v>
      </c>
      <c r="Q14" s="3" t="s">
        <v>164</v>
      </c>
      <c r="R14" s="3" t="s">
        <v>165</v>
      </c>
      <c r="S14" s="3" t="s">
        <v>162</v>
      </c>
      <c r="T14" s="3" t="s">
        <v>604</v>
      </c>
      <c r="U14" s="3" t="s">
        <v>605</v>
      </c>
      <c r="V14" s="3">
        <v>0</v>
      </c>
      <c r="W14" s="3">
        <v>1</v>
      </c>
      <c r="X14" s="3" t="s">
        <v>606</v>
      </c>
      <c r="Y14" s="3" t="s">
        <v>498</v>
      </c>
      <c r="Z14" s="3" t="s">
        <v>498</v>
      </c>
      <c r="AA14" s="3" t="s">
        <v>498</v>
      </c>
      <c r="AB14" s="3" t="s">
        <v>499</v>
      </c>
      <c r="AC14" s="3" t="s">
        <v>499</v>
      </c>
      <c r="AD14" s="3" t="s">
        <v>498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2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4</v>
      </c>
      <c r="BB14" s="3" t="s">
        <v>498</v>
      </c>
      <c r="BC14" s="3" t="s">
        <v>607</v>
      </c>
      <c r="BD14" s="3" t="s">
        <v>608</v>
      </c>
      <c r="BE14" s="3" t="s">
        <v>498</v>
      </c>
      <c r="BF14" s="3" t="s">
        <v>609</v>
      </c>
      <c r="BG14" s="3" t="s">
        <v>610</v>
      </c>
    </row>
    <row r="15" spans="1:59" ht="70">
      <c r="A15" s="3" t="s">
        <v>166</v>
      </c>
      <c r="B15" s="3" t="s">
        <v>60</v>
      </c>
      <c r="C15" s="3" t="s">
        <v>61</v>
      </c>
      <c r="D15" s="3" t="s">
        <v>167</v>
      </c>
      <c r="E15" s="3" t="s">
        <v>167</v>
      </c>
      <c r="F15" s="3" t="s">
        <v>595</v>
      </c>
      <c r="G15" s="3" t="s">
        <v>168</v>
      </c>
      <c r="H15" s="3" t="s">
        <v>168</v>
      </c>
      <c r="I15" s="3" t="s">
        <v>169</v>
      </c>
      <c r="J15" s="3">
        <v>2023</v>
      </c>
      <c r="K15" s="3" t="s">
        <v>137</v>
      </c>
      <c r="L15" s="3" t="s">
        <v>66</v>
      </c>
      <c r="M15" s="3">
        <v>0</v>
      </c>
      <c r="N15" s="3" t="s">
        <v>596</v>
      </c>
      <c r="O15" s="3" t="s">
        <v>170</v>
      </c>
      <c r="P15" s="3" t="s">
        <v>171</v>
      </c>
      <c r="Q15" s="3" t="s">
        <v>172</v>
      </c>
      <c r="R15" s="3" t="s">
        <v>173</v>
      </c>
      <c r="S15" s="3" t="s">
        <v>170</v>
      </c>
      <c r="T15" s="3" t="s">
        <v>597</v>
      </c>
      <c r="U15" s="3" t="s">
        <v>598</v>
      </c>
      <c r="V15" s="3">
        <v>1</v>
      </c>
      <c r="W15" s="3">
        <v>1</v>
      </c>
      <c r="X15" s="3" t="s">
        <v>599</v>
      </c>
      <c r="Y15" s="3" t="s">
        <v>498</v>
      </c>
      <c r="Z15" s="3" t="s">
        <v>498</v>
      </c>
      <c r="AA15" s="3" t="s">
        <v>498</v>
      </c>
      <c r="AB15" s="3" t="s">
        <v>498</v>
      </c>
      <c r="AC15" s="3" t="s">
        <v>498</v>
      </c>
      <c r="AD15" s="3" t="s">
        <v>498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 t="s">
        <v>498</v>
      </c>
      <c r="BC15" s="3" t="s">
        <v>940</v>
      </c>
      <c r="BD15" s="3" t="s">
        <v>600</v>
      </c>
      <c r="BE15" s="3" t="s">
        <v>498</v>
      </c>
      <c r="BF15" s="3" t="s">
        <v>601</v>
      </c>
      <c r="BG15" s="3" t="s">
        <v>937</v>
      </c>
    </row>
    <row r="16" spans="1:59" ht="70">
      <c r="A16" s="3" t="s">
        <v>174</v>
      </c>
      <c r="B16" s="3" t="s">
        <v>60</v>
      </c>
      <c r="C16" s="3" t="s">
        <v>61</v>
      </c>
      <c r="D16" s="3" t="s">
        <v>175</v>
      </c>
      <c r="E16" s="3" t="s">
        <v>175</v>
      </c>
      <c r="F16" s="3" t="s">
        <v>584</v>
      </c>
      <c r="G16" s="3" t="s">
        <v>176</v>
      </c>
      <c r="H16" s="3" t="s">
        <v>176</v>
      </c>
      <c r="I16" s="3" t="s">
        <v>159</v>
      </c>
      <c r="J16" s="3">
        <v>2023</v>
      </c>
      <c r="K16" s="3" t="s">
        <v>137</v>
      </c>
      <c r="L16" s="3" t="s">
        <v>66</v>
      </c>
      <c r="M16" s="3">
        <v>0</v>
      </c>
      <c r="N16" s="3" t="s">
        <v>585</v>
      </c>
      <c r="O16" s="3" t="s">
        <v>177</v>
      </c>
      <c r="P16" s="3" t="s">
        <v>178</v>
      </c>
      <c r="Q16" s="3" t="s">
        <v>179</v>
      </c>
      <c r="R16" s="3" t="s">
        <v>586</v>
      </c>
      <c r="S16" s="3" t="s">
        <v>177</v>
      </c>
      <c r="T16" s="3" t="s">
        <v>587</v>
      </c>
      <c r="U16" s="3" t="s">
        <v>588</v>
      </c>
      <c r="V16" s="3">
        <v>1</v>
      </c>
      <c r="W16" s="3">
        <v>1</v>
      </c>
      <c r="X16" s="3" t="s">
        <v>589</v>
      </c>
      <c r="Y16" s="3" t="s">
        <v>498</v>
      </c>
      <c r="Z16" s="3" t="s">
        <v>498</v>
      </c>
      <c r="AA16" s="3" t="s">
        <v>498</v>
      </c>
      <c r="AB16" s="3" t="s">
        <v>498</v>
      </c>
      <c r="AC16" s="3" t="s">
        <v>498</v>
      </c>
      <c r="AD16" s="3" t="s">
        <v>498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1</v>
      </c>
      <c r="BB16" s="3" t="s">
        <v>498</v>
      </c>
      <c r="BC16" s="3" t="s">
        <v>590</v>
      </c>
      <c r="BD16" s="3" t="s">
        <v>591</v>
      </c>
      <c r="BE16" s="3" t="s">
        <v>498</v>
      </c>
      <c r="BF16" s="3" t="s">
        <v>592</v>
      </c>
      <c r="BG16" s="3" t="s">
        <v>593</v>
      </c>
    </row>
    <row r="17" spans="1:59" ht="70">
      <c r="A17" s="3" t="s">
        <v>180</v>
      </c>
      <c r="B17" s="3" t="s">
        <v>60</v>
      </c>
      <c r="C17" s="3" t="s">
        <v>61</v>
      </c>
      <c r="D17" s="3" t="s">
        <v>181</v>
      </c>
      <c r="E17" s="3" t="s">
        <v>181</v>
      </c>
      <c r="F17" s="3" t="s">
        <v>575</v>
      </c>
      <c r="G17" s="3" t="s">
        <v>182</v>
      </c>
      <c r="H17" s="3" t="s">
        <v>576</v>
      </c>
      <c r="I17" s="3" t="s">
        <v>183</v>
      </c>
      <c r="J17" s="3">
        <v>2023</v>
      </c>
      <c r="K17" s="3" t="s">
        <v>137</v>
      </c>
      <c r="L17" s="3" t="s">
        <v>66</v>
      </c>
      <c r="M17" s="3">
        <v>0</v>
      </c>
      <c r="N17" s="3" t="s">
        <v>594</v>
      </c>
      <c r="O17" s="3" t="s">
        <v>184</v>
      </c>
      <c r="P17" s="3" t="s">
        <v>185</v>
      </c>
      <c r="Q17" s="3" t="s">
        <v>186</v>
      </c>
      <c r="R17" s="3" t="s">
        <v>187</v>
      </c>
      <c r="S17" s="3" t="s">
        <v>184</v>
      </c>
      <c r="T17" s="3" t="s">
        <v>583</v>
      </c>
      <c r="U17" s="3" t="s">
        <v>577</v>
      </c>
      <c r="V17" s="3">
        <v>2</v>
      </c>
      <c r="W17" s="3">
        <v>1</v>
      </c>
      <c r="X17" s="3" t="s">
        <v>578</v>
      </c>
      <c r="Y17" s="3" t="s">
        <v>498</v>
      </c>
      <c r="Z17" s="3" t="s">
        <v>498</v>
      </c>
      <c r="AA17" s="3" t="s">
        <v>498</v>
      </c>
      <c r="AB17" s="3" t="s">
        <v>498</v>
      </c>
      <c r="AC17" s="3" t="s">
        <v>498</v>
      </c>
      <c r="AD17" s="3" t="s">
        <v>498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 t="s">
        <v>498</v>
      </c>
      <c r="BC17" s="3" t="s">
        <v>579</v>
      </c>
      <c r="BD17" s="3" t="s">
        <v>580</v>
      </c>
      <c r="BE17" s="3" t="s">
        <v>498</v>
      </c>
      <c r="BF17" s="3" t="s">
        <v>581</v>
      </c>
      <c r="BG17" s="3" t="s">
        <v>582</v>
      </c>
    </row>
    <row r="18" spans="1:59" ht="70">
      <c r="A18" s="3" t="s">
        <v>188</v>
      </c>
      <c r="B18" s="3" t="s">
        <v>60</v>
      </c>
      <c r="C18" s="3" t="s">
        <v>61</v>
      </c>
      <c r="D18" s="3" t="s">
        <v>189</v>
      </c>
      <c r="E18" s="3" t="s">
        <v>189</v>
      </c>
      <c r="F18" s="3" t="s">
        <v>566</v>
      </c>
      <c r="G18" s="3" t="s">
        <v>190</v>
      </c>
      <c r="H18" s="3" t="s">
        <v>567</v>
      </c>
      <c r="I18" s="3" t="s">
        <v>191</v>
      </c>
      <c r="J18" s="3">
        <v>2023</v>
      </c>
      <c r="K18" s="3" t="s">
        <v>137</v>
      </c>
      <c r="L18" s="3" t="s">
        <v>66</v>
      </c>
      <c r="M18" s="3">
        <v>0</v>
      </c>
      <c r="N18" s="3" t="s">
        <v>568</v>
      </c>
      <c r="O18" s="3" t="s">
        <v>192</v>
      </c>
      <c r="P18" s="3" t="s">
        <v>193</v>
      </c>
      <c r="Q18" s="3" t="s">
        <v>194</v>
      </c>
      <c r="R18" s="3" t="s">
        <v>195</v>
      </c>
      <c r="S18" s="3" t="s">
        <v>192</v>
      </c>
      <c r="T18" s="3" t="s">
        <v>945</v>
      </c>
      <c r="U18" s="3" t="s">
        <v>569</v>
      </c>
      <c r="V18" s="3">
        <v>2</v>
      </c>
      <c r="W18" s="3">
        <v>1</v>
      </c>
      <c r="X18" s="3" t="s">
        <v>570</v>
      </c>
      <c r="Y18" s="3" t="s">
        <v>498</v>
      </c>
      <c r="Z18" s="3" t="s">
        <v>498</v>
      </c>
      <c r="AA18" s="3" t="s">
        <v>498</v>
      </c>
      <c r="AB18" s="3" t="s">
        <v>498</v>
      </c>
      <c r="AC18" s="3" t="s">
        <v>498</v>
      </c>
      <c r="AD18" s="3" t="s">
        <v>498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 t="s">
        <v>498</v>
      </c>
      <c r="BC18" s="3" t="s">
        <v>574</v>
      </c>
      <c r="BD18" s="3" t="s">
        <v>571</v>
      </c>
      <c r="BE18" s="3" t="s">
        <v>499</v>
      </c>
      <c r="BF18" s="3" t="s">
        <v>572</v>
      </c>
      <c r="BG18" s="3" t="s">
        <v>573</v>
      </c>
    </row>
    <row r="19" spans="1:59" ht="70">
      <c r="A19" s="3" t="s">
        <v>196</v>
      </c>
      <c r="B19" s="3" t="s">
        <v>60</v>
      </c>
      <c r="C19" s="3" t="s">
        <v>61</v>
      </c>
      <c r="D19" s="3" t="s">
        <v>197</v>
      </c>
      <c r="E19" s="3" t="s">
        <v>197</v>
      </c>
      <c r="F19" s="3" t="s">
        <v>558</v>
      </c>
      <c r="G19" s="3" t="s">
        <v>198</v>
      </c>
      <c r="H19" s="3" t="s">
        <v>198</v>
      </c>
      <c r="I19" s="3" t="s">
        <v>199</v>
      </c>
      <c r="J19" s="3">
        <v>2023</v>
      </c>
      <c r="K19" s="3" t="s">
        <v>137</v>
      </c>
      <c r="L19" s="3" t="s">
        <v>66</v>
      </c>
      <c r="M19" s="3">
        <v>0</v>
      </c>
      <c r="N19" s="3" t="s">
        <v>559</v>
      </c>
      <c r="O19" s="3" t="s">
        <v>200</v>
      </c>
      <c r="P19" s="3" t="s">
        <v>201</v>
      </c>
      <c r="Q19" s="3" t="s">
        <v>202</v>
      </c>
      <c r="R19" s="3" t="s">
        <v>203</v>
      </c>
      <c r="S19" s="3" t="s">
        <v>200</v>
      </c>
      <c r="T19" s="3" t="s">
        <v>946</v>
      </c>
      <c r="U19" s="3" t="s">
        <v>560</v>
      </c>
      <c r="V19" s="3">
        <v>1</v>
      </c>
      <c r="W19" s="3">
        <v>0</v>
      </c>
      <c r="X19" s="3" t="s">
        <v>561</v>
      </c>
      <c r="Y19" s="3" t="s">
        <v>498</v>
      </c>
      <c r="Z19" s="3" t="s">
        <v>498</v>
      </c>
      <c r="AA19" s="3" t="s">
        <v>498</v>
      </c>
      <c r="AB19" s="3" t="s">
        <v>498</v>
      </c>
      <c r="AC19" s="3" t="s">
        <v>499</v>
      </c>
      <c r="AD19" s="3" t="s">
        <v>498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1</v>
      </c>
      <c r="AY19" s="3">
        <v>0</v>
      </c>
      <c r="AZ19" s="3">
        <v>0</v>
      </c>
      <c r="BA19" s="3">
        <v>1</v>
      </c>
      <c r="BB19" s="3" t="s">
        <v>498</v>
      </c>
      <c r="BC19" s="3" t="s">
        <v>565</v>
      </c>
      <c r="BD19" s="3" t="s">
        <v>562</v>
      </c>
      <c r="BE19" s="3" t="s">
        <v>498</v>
      </c>
      <c r="BF19" s="3" t="s">
        <v>563</v>
      </c>
      <c r="BG19" s="3" t="s">
        <v>564</v>
      </c>
    </row>
    <row r="20" spans="1:59" ht="70">
      <c r="A20" s="3" t="s">
        <v>204</v>
      </c>
      <c r="B20" s="3" t="s">
        <v>60</v>
      </c>
      <c r="C20" s="3" t="s">
        <v>61</v>
      </c>
      <c r="D20" s="3" t="s">
        <v>205</v>
      </c>
      <c r="E20" s="3" t="s">
        <v>205</v>
      </c>
      <c r="F20" s="3" t="s">
        <v>548</v>
      </c>
      <c r="G20" s="3" t="s">
        <v>206</v>
      </c>
      <c r="H20" s="3" t="s">
        <v>206</v>
      </c>
      <c r="I20" s="3" t="s">
        <v>207</v>
      </c>
      <c r="J20" s="3">
        <v>2023</v>
      </c>
      <c r="K20" s="3" t="s">
        <v>65</v>
      </c>
      <c r="L20" s="3" t="s">
        <v>66</v>
      </c>
      <c r="M20" s="3">
        <v>0</v>
      </c>
      <c r="N20" s="3" t="s">
        <v>549</v>
      </c>
      <c r="O20" s="3" t="s">
        <v>208</v>
      </c>
      <c r="P20" s="3" t="s">
        <v>209</v>
      </c>
      <c r="Q20" s="3" t="s">
        <v>210</v>
      </c>
      <c r="R20" s="3" t="s">
        <v>211</v>
      </c>
      <c r="S20" s="3" t="s">
        <v>208</v>
      </c>
      <c r="T20" s="3" t="s">
        <v>550</v>
      </c>
      <c r="U20" s="3" t="s">
        <v>551</v>
      </c>
      <c r="V20" s="3">
        <v>1</v>
      </c>
      <c r="W20" s="3">
        <v>1</v>
      </c>
      <c r="X20" s="3" t="s">
        <v>552</v>
      </c>
      <c r="Y20" s="3" t="s">
        <v>498</v>
      </c>
      <c r="Z20" s="3" t="s">
        <v>498</v>
      </c>
      <c r="AA20" s="3" t="s">
        <v>498</v>
      </c>
      <c r="AB20" s="3" t="s">
        <v>499</v>
      </c>
      <c r="AC20" s="3" t="s">
        <v>499</v>
      </c>
      <c r="AD20" s="3" t="s">
        <v>498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1</v>
      </c>
      <c r="AY20" s="3">
        <v>0</v>
      </c>
      <c r="AZ20" s="3">
        <v>0</v>
      </c>
      <c r="BA20" s="3">
        <v>3</v>
      </c>
      <c r="BB20" s="3" t="s">
        <v>498</v>
      </c>
      <c r="BC20" s="3" t="s">
        <v>553</v>
      </c>
      <c r="BD20" s="3" t="s">
        <v>554</v>
      </c>
      <c r="BE20" s="3" t="s">
        <v>498</v>
      </c>
      <c r="BF20" s="3" t="s">
        <v>555</v>
      </c>
      <c r="BG20" s="3" t="s">
        <v>556</v>
      </c>
    </row>
    <row r="21" spans="1:59" ht="70">
      <c r="A21" s="3" t="s">
        <v>212</v>
      </c>
      <c r="B21" s="3" t="s">
        <v>60</v>
      </c>
      <c r="C21" s="3" t="s">
        <v>61</v>
      </c>
      <c r="D21" s="3" t="s">
        <v>213</v>
      </c>
      <c r="E21" s="3" t="s">
        <v>213</v>
      </c>
      <c r="F21" s="3" t="s">
        <v>539</v>
      </c>
      <c r="G21" s="3" t="s">
        <v>214</v>
      </c>
      <c r="H21" s="3" t="s">
        <v>214</v>
      </c>
      <c r="I21" s="3" t="s">
        <v>215</v>
      </c>
      <c r="J21" s="3">
        <v>2023</v>
      </c>
      <c r="K21" s="3" t="s">
        <v>82</v>
      </c>
      <c r="L21" s="3" t="s">
        <v>66</v>
      </c>
      <c r="M21" s="3">
        <v>1</v>
      </c>
      <c r="N21" s="3" t="s">
        <v>540</v>
      </c>
      <c r="O21" s="3" t="s">
        <v>216</v>
      </c>
      <c r="P21" s="3" t="s">
        <v>217</v>
      </c>
      <c r="Q21" s="3" t="s">
        <v>218</v>
      </c>
      <c r="R21" s="3" t="s">
        <v>219</v>
      </c>
      <c r="S21" s="3" t="s">
        <v>216</v>
      </c>
      <c r="T21" s="3" t="s">
        <v>541</v>
      </c>
      <c r="U21" s="3" t="s">
        <v>542</v>
      </c>
      <c r="V21" s="3">
        <v>1</v>
      </c>
      <c r="W21" s="3">
        <v>1</v>
      </c>
      <c r="X21" s="3" t="s">
        <v>543</v>
      </c>
      <c r="Y21" s="3" t="s">
        <v>498</v>
      </c>
      <c r="Z21" s="3" t="s">
        <v>498</v>
      </c>
      <c r="AA21" s="3" t="s">
        <v>498</v>
      </c>
      <c r="AB21" s="3" t="s">
        <v>499</v>
      </c>
      <c r="AC21" s="3" t="s">
        <v>499</v>
      </c>
      <c r="AD21" s="3" t="s">
        <v>498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1</v>
      </c>
      <c r="AY21" s="3">
        <v>0</v>
      </c>
      <c r="AZ21" s="3">
        <v>0</v>
      </c>
      <c r="BA21" s="3">
        <v>2</v>
      </c>
      <c r="BB21" s="3" t="s">
        <v>498</v>
      </c>
      <c r="BC21" s="3" t="s">
        <v>544</v>
      </c>
      <c r="BD21" s="3" t="s">
        <v>545</v>
      </c>
      <c r="BE21" s="3" t="s">
        <v>498</v>
      </c>
      <c r="BF21" s="3" t="s">
        <v>546</v>
      </c>
      <c r="BG21" s="3" t="s">
        <v>547</v>
      </c>
    </row>
    <row r="22" spans="1:59" ht="70">
      <c r="A22" s="3" t="s">
        <v>220</v>
      </c>
      <c r="B22" s="3" t="s">
        <v>60</v>
      </c>
      <c r="C22" s="3" t="s">
        <v>61</v>
      </c>
      <c r="D22" s="3" t="s">
        <v>221</v>
      </c>
      <c r="E22" s="3" t="s">
        <v>221</v>
      </c>
      <c r="F22" s="3" t="s">
        <v>530</v>
      </c>
      <c r="G22" s="3" t="s">
        <v>222</v>
      </c>
      <c r="H22" s="3" t="s">
        <v>222</v>
      </c>
      <c r="I22" s="3" t="s">
        <v>215</v>
      </c>
      <c r="J22" s="3">
        <v>2023</v>
      </c>
      <c r="K22" s="3" t="s">
        <v>82</v>
      </c>
      <c r="L22" s="3" t="s">
        <v>66</v>
      </c>
      <c r="M22" s="3">
        <v>1</v>
      </c>
      <c r="N22" s="3" t="s">
        <v>531</v>
      </c>
      <c r="O22" s="3" t="s">
        <v>223</v>
      </c>
      <c r="P22" s="3" t="s">
        <v>224</v>
      </c>
      <c r="Q22" s="3" t="s">
        <v>225</v>
      </c>
      <c r="R22" s="3" t="s">
        <v>226</v>
      </c>
      <c r="S22" s="3" t="s">
        <v>223</v>
      </c>
      <c r="T22" s="3" t="s">
        <v>532</v>
      </c>
      <c r="U22" s="3" t="s">
        <v>533</v>
      </c>
      <c r="V22" s="3">
        <v>1</v>
      </c>
      <c r="W22" s="3">
        <v>1</v>
      </c>
      <c r="X22" s="3" t="s">
        <v>534</v>
      </c>
      <c r="Y22" s="3" t="s">
        <v>498</v>
      </c>
      <c r="Z22" s="3" t="s">
        <v>498</v>
      </c>
      <c r="AA22" s="3" t="s">
        <v>498</v>
      </c>
      <c r="AB22" s="3" t="s">
        <v>498</v>
      </c>
      <c r="AC22" s="3" t="s">
        <v>499</v>
      </c>
      <c r="AD22" s="3" t="s">
        <v>498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1</v>
      </c>
      <c r="AY22" s="3">
        <v>0</v>
      </c>
      <c r="AZ22" s="3">
        <v>0</v>
      </c>
      <c r="BA22" s="3">
        <v>1</v>
      </c>
      <c r="BB22" s="3" t="s">
        <v>498</v>
      </c>
      <c r="BC22" s="3" t="s">
        <v>535</v>
      </c>
      <c r="BD22" s="3" t="s">
        <v>536</v>
      </c>
      <c r="BE22" s="3" t="s">
        <v>498</v>
      </c>
      <c r="BF22" s="3" t="s">
        <v>537</v>
      </c>
      <c r="BG22" s="3" t="s">
        <v>538</v>
      </c>
    </row>
    <row r="23" spans="1:59" ht="70">
      <c r="A23" s="3" t="s">
        <v>227</v>
      </c>
      <c r="B23" s="3" t="s">
        <v>60</v>
      </c>
      <c r="C23" s="3" t="s">
        <v>61</v>
      </c>
      <c r="D23" s="3" t="s">
        <v>228</v>
      </c>
      <c r="E23" s="3" t="s">
        <v>228</v>
      </c>
      <c r="F23" s="3" t="s">
        <v>521</v>
      </c>
      <c r="G23" s="3" t="s">
        <v>229</v>
      </c>
      <c r="H23" s="3" t="s">
        <v>229</v>
      </c>
      <c r="I23" s="3" t="s">
        <v>230</v>
      </c>
      <c r="J23" s="3">
        <v>2023</v>
      </c>
      <c r="K23" s="3" t="s">
        <v>231</v>
      </c>
      <c r="L23" s="3" t="s">
        <v>161</v>
      </c>
      <c r="M23" s="3">
        <v>0</v>
      </c>
      <c r="N23" s="3" t="s">
        <v>522</v>
      </c>
      <c r="O23" s="3" t="s">
        <v>232</v>
      </c>
      <c r="P23" s="3" t="s">
        <v>233</v>
      </c>
      <c r="Q23" s="3" t="s">
        <v>234</v>
      </c>
      <c r="R23" s="3" t="s">
        <v>235</v>
      </c>
      <c r="S23" s="3" t="s">
        <v>232</v>
      </c>
      <c r="T23" s="3" t="s">
        <v>523</v>
      </c>
      <c r="U23" s="3" t="s">
        <v>524</v>
      </c>
      <c r="V23" s="3">
        <v>2</v>
      </c>
      <c r="W23" s="3">
        <v>2</v>
      </c>
      <c r="X23" s="3" t="s">
        <v>525</v>
      </c>
      <c r="Y23" s="3" t="s">
        <v>498</v>
      </c>
      <c r="Z23" s="3" t="s">
        <v>498</v>
      </c>
      <c r="AA23" s="3" t="s">
        <v>498</v>
      </c>
      <c r="AB23" s="3" t="s">
        <v>498</v>
      </c>
      <c r="AC23" s="3" t="s">
        <v>499</v>
      </c>
      <c r="AD23" s="3" t="s">
        <v>498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2</v>
      </c>
      <c r="AY23" s="3">
        <v>0</v>
      </c>
      <c r="AZ23" s="3">
        <v>0</v>
      </c>
      <c r="BA23" s="3">
        <v>3</v>
      </c>
      <c r="BB23" s="3" t="s">
        <v>498</v>
      </c>
      <c r="BC23" s="3" t="s">
        <v>526</v>
      </c>
      <c r="BD23" s="3" t="s">
        <v>527</v>
      </c>
      <c r="BE23" s="3" t="s">
        <v>498</v>
      </c>
      <c r="BF23" s="3" t="s">
        <v>528</v>
      </c>
      <c r="BG23" s="3" t="s">
        <v>529</v>
      </c>
    </row>
    <row r="24" spans="1:59" ht="70">
      <c r="A24" s="3" t="s">
        <v>236</v>
      </c>
      <c r="B24" s="3" t="s">
        <v>60</v>
      </c>
      <c r="C24" s="3" t="s">
        <v>61</v>
      </c>
      <c r="D24" s="3" t="s">
        <v>237</v>
      </c>
      <c r="E24" s="3" t="s">
        <v>237</v>
      </c>
      <c r="F24" s="3" t="s">
        <v>512</v>
      </c>
      <c r="G24" s="3" t="s">
        <v>238</v>
      </c>
      <c r="H24" s="3" t="s">
        <v>238</v>
      </c>
      <c r="I24" s="3" t="s">
        <v>91</v>
      </c>
      <c r="J24" s="3">
        <v>2024</v>
      </c>
      <c r="K24" s="3" t="s">
        <v>82</v>
      </c>
      <c r="L24" s="3" t="s">
        <v>83</v>
      </c>
      <c r="M24" s="3">
        <v>0</v>
      </c>
      <c r="N24" s="3" t="s">
        <v>513</v>
      </c>
      <c r="O24" s="3" t="s">
        <v>239</v>
      </c>
      <c r="P24" s="3" t="s">
        <v>240</v>
      </c>
      <c r="Q24" s="3" t="s">
        <v>241</v>
      </c>
      <c r="R24" s="3" t="s">
        <v>242</v>
      </c>
      <c r="S24" s="3" t="s">
        <v>239</v>
      </c>
      <c r="T24" s="3" t="s">
        <v>514</v>
      </c>
      <c r="U24" s="3" t="s">
        <v>515</v>
      </c>
      <c r="V24" s="3">
        <v>2</v>
      </c>
      <c r="W24" s="3">
        <v>2</v>
      </c>
      <c r="X24" s="3" t="s">
        <v>516</v>
      </c>
      <c r="Y24" s="3" t="s">
        <v>498</v>
      </c>
      <c r="Z24" s="3" t="s">
        <v>498</v>
      </c>
      <c r="AA24" s="3" t="s">
        <v>498</v>
      </c>
      <c r="AB24" s="3" t="s">
        <v>499</v>
      </c>
      <c r="AC24" s="3" t="s">
        <v>499</v>
      </c>
      <c r="AD24" s="3" t="s">
        <v>498</v>
      </c>
      <c r="AE24" s="3">
        <v>0</v>
      </c>
      <c r="AF24" s="3">
        <v>0</v>
      </c>
      <c r="AG24" s="3">
        <v>0</v>
      </c>
      <c r="AH24" s="3">
        <v>2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2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1</v>
      </c>
      <c r="AY24" s="3">
        <v>0</v>
      </c>
      <c r="AZ24" s="3">
        <v>0</v>
      </c>
      <c r="BA24" s="3">
        <v>5</v>
      </c>
      <c r="BB24" s="3" t="s">
        <v>498</v>
      </c>
      <c r="BC24" s="3" t="s">
        <v>517</v>
      </c>
      <c r="BD24" s="3" t="s">
        <v>518</v>
      </c>
      <c r="BE24" s="3" t="s">
        <v>499</v>
      </c>
      <c r="BF24" s="3" t="s">
        <v>519</v>
      </c>
      <c r="BG24" s="3" t="s">
        <v>520</v>
      </c>
    </row>
    <row r="25" spans="1:59" ht="70">
      <c r="A25" s="3" t="s">
        <v>243</v>
      </c>
      <c r="B25" s="3" t="s">
        <v>60</v>
      </c>
      <c r="C25" s="3" t="s">
        <v>61</v>
      </c>
      <c r="D25" s="3" t="s">
        <v>244</v>
      </c>
      <c r="E25" s="3" t="s">
        <v>244</v>
      </c>
      <c r="F25" s="3" t="s">
        <v>504</v>
      </c>
      <c r="G25" s="3" t="s">
        <v>245</v>
      </c>
      <c r="H25" s="3" t="s">
        <v>245</v>
      </c>
      <c r="I25" s="3" t="s">
        <v>246</v>
      </c>
      <c r="J25" s="3">
        <v>2024</v>
      </c>
      <c r="K25" s="3" t="s">
        <v>160</v>
      </c>
      <c r="L25" s="3" t="s">
        <v>161</v>
      </c>
      <c r="M25" s="3">
        <v>0</v>
      </c>
      <c r="N25" s="3" t="s">
        <v>505</v>
      </c>
      <c r="O25" s="3" t="s">
        <v>247</v>
      </c>
      <c r="P25" s="3" t="s">
        <v>248</v>
      </c>
      <c r="Q25" s="3" t="s">
        <v>249</v>
      </c>
      <c r="R25" s="3" t="s">
        <v>250</v>
      </c>
      <c r="S25" s="3" t="s">
        <v>247</v>
      </c>
      <c r="T25" s="3" t="s">
        <v>712</v>
      </c>
      <c r="U25" s="3" t="s">
        <v>506</v>
      </c>
      <c r="V25" s="3">
        <v>0</v>
      </c>
      <c r="W25" s="3">
        <v>0</v>
      </c>
      <c r="X25" s="3" t="s">
        <v>507</v>
      </c>
      <c r="Y25" s="3" t="s">
        <v>498</v>
      </c>
      <c r="Z25" s="3" t="s">
        <v>498</v>
      </c>
      <c r="AA25" s="3" t="s">
        <v>498</v>
      </c>
      <c r="AB25" s="3" t="s">
        <v>498</v>
      </c>
      <c r="AC25" s="3" t="s">
        <v>499</v>
      </c>
      <c r="AD25" s="3" t="s">
        <v>498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1</v>
      </c>
      <c r="AY25" s="3">
        <v>0</v>
      </c>
      <c r="AZ25" s="3">
        <v>0</v>
      </c>
      <c r="BA25" s="3">
        <v>1</v>
      </c>
      <c r="BB25" s="3" t="s">
        <v>498</v>
      </c>
      <c r="BC25" s="3" t="s">
        <v>508</v>
      </c>
      <c r="BD25" s="3" t="s">
        <v>509</v>
      </c>
      <c r="BE25" s="3" t="s">
        <v>498</v>
      </c>
      <c r="BF25" s="3" t="s">
        <v>510</v>
      </c>
      <c r="BG25" s="3" t="s">
        <v>511</v>
      </c>
    </row>
    <row r="26" spans="1:59" ht="70">
      <c r="A26" s="3" t="s">
        <v>251</v>
      </c>
      <c r="B26" s="3" t="s">
        <v>60</v>
      </c>
      <c r="C26" s="3" t="s">
        <v>61</v>
      </c>
      <c r="D26" s="3" t="s">
        <v>252</v>
      </c>
      <c r="E26" s="3" t="s">
        <v>252</v>
      </c>
      <c r="F26" s="3" t="s">
        <v>713</v>
      </c>
      <c r="G26" s="3" t="s">
        <v>253</v>
      </c>
      <c r="H26" s="3" t="s">
        <v>253</v>
      </c>
      <c r="I26" s="3" t="s">
        <v>64</v>
      </c>
      <c r="J26" s="3">
        <v>2024</v>
      </c>
      <c r="K26" s="3" t="s">
        <v>65</v>
      </c>
      <c r="L26" s="3" t="s">
        <v>66</v>
      </c>
      <c r="M26" s="3">
        <v>0</v>
      </c>
      <c r="N26" s="3" t="s">
        <v>714</v>
      </c>
      <c r="O26" s="4" t="s">
        <v>254</v>
      </c>
      <c r="P26" s="3" t="s">
        <v>255</v>
      </c>
      <c r="Q26" s="3" t="s">
        <v>256</v>
      </c>
      <c r="R26" s="3" t="s">
        <v>257</v>
      </c>
      <c r="S26" s="3" t="s">
        <v>254</v>
      </c>
      <c r="T26" s="3" t="s">
        <v>715</v>
      </c>
      <c r="U26" s="3" t="s">
        <v>716</v>
      </c>
      <c r="V26" s="3">
        <v>3</v>
      </c>
      <c r="W26" s="3">
        <v>2</v>
      </c>
      <c r="X26" s="3" t="s">
        <v>717</v>
      </c>
      <c r="Y26" s="3" t="s">
        <v>498</v>
      </c>
      <c r="Z26" s="3" t="s">
        <v>498</v>
      </c>
      <c r="AA26" s="3" t="s">
        <v>498</v>
      </c>
      <c r="AB26" s="3" t="s">
        <v>499</v>
      </c>
      <c r="AC26" s="3" t="s">
        <v>499</v>
      </c>
      <c r="AD26" s="3" t="s">
        <v>498</v>
      </c>
      <c r="AE26" s="3">
        <v>0</v>
      </c>
      <c r="AF26" s="3">
        <v>0</v>
      </c>
      <c r="AG26" s="3">
        <v>0</v>
      </c>
      <c r="AH26" s="3">
        <v>1</v>
      </c>
      <c r="AI26" s="3">
        <v>0</v>
      </c>
      <c r="AJ26" s="3">
        <v>0</v>
      </c>
      <c r="AK26" s="3">
        <v>0</v>
      </c>
      <c r="AL26" s="3">
        <v>1</v>
      </c>
      <c r="AM26" s="3">
        <v>0</v>
      </c>
      <c r="AN26" s="3">
        <v>0</v>
      </c>
      <c r="AO26" s="3">
        <v>1</v>
      </c>
      <c r="AP26" s="3">
        <v>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1</v>
      </c>
      <c r="AY26" s="3">
        <v>0</v>
      </c>
      <c r="AZ26" s="3">
        <v>0</v>
      </c>
      <c r="BA26" s="3">
        <v>5</v>
      </c>
      <c r="BB26" s="3" t="s">
        <v>499</v>
      </c>
      <c r="BC26" s="3" t="s">
        <v>718</v>
      </c>
      <c r="BD26" s="3" t="s">
        <v>719</v>
      </c>
      <c r="BE26" s="3" t="s">
        <v>499</v>
      </c>
      <c r="BF26" s="3" t="s">
        <v>720</v>
      </c>
      <c r="BG26" s="3" t="s">
        <v>721</v>
      </c>
    </row>
    <row r="27" spans="1:59" ht="70">
      <c r="A27" s="3" t="s">
        <v>258</v>
      </c>
      <c r="B27" s="3" t="s">
        <v>60</v>
      </c>
      <c r="C27" s="3" t="s">
        <v>61</v>
      </c>
      <c r="D27" s="3" t="s">
        <v>259</v>
      </c>
      <c r="E27" s="3" t="s">
        <v>259</v>
      </c>
      <c r="F27" s="3" t="s">
        <v>722</v>
      </c>
      <c r="G27" s="3" t="s">
        <v>260</v>
      </c>
      <c r="H27" s="3" t="s">
        <v>260</v>
      </c>
      <c r="I27" s="3" t="s">
        <v>64</v>
      </c>
      <c r="J27" s="3">
        <v>2024</v>
      </c>
      <c r="K27" s="3" t="s">
        <v>65</v>
      </c>
      <c r="L27" s="3" t="s">
        <v>66</v>
      </c>
      <c r="M27" s="3">
        <v>0</v>
      </c>
      <c r="N27" s="3" t="s">
        <v>723</v>
      </c>
      <c r="O27" s="4" t="s">
        <v>261</v>
      </c>
      <c r="P27" s="3" t="s">
        <v>262</v>
      </c>
      <c r="Q27" s="3" t="s">
        <v>263</v>
      </c>
      <c r="R27" s="3" t="s">
        <v>264</v>
      </c>
      <c r="S27" s="3" t="s">
        <v>261</v>
      </c>
      <c r="T27" s="3" t="s">
        <v>724</v>
      </c>
      <c r="U27" s="3" t="s">
        <v>725</v>
      </c>
      <c r="V27" s="3">
        <v>2</v>
      </c>
      <c r="W27" s="3">
        <v>2</v>
      </c>
      <c r="X27" s="3" t="s">
        <v>726</v>
      </c>
      <c r="Y27" s="3" t="s">
        <v>498</v>
      </c>
      <c r="Z27" s="3" t="s">
        <v>498</v>
      </c>
      <c r="AA27" s="3" t="s">
        <v>498</v>
      </c>
      <c r="AB27" s="3" t="s">
        <v>499</v>
      </c>
      <c r="AC27" s="3" t="s">
        <v>499</v>
      </c>
      <c r="AD27" s="3" t="s">
        <v>498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0</v>
      </c>
      <c r="AN27" s="3">
        <v>0</v>
      </c>
      <c r="AO27" s="3">
        <v>1</v>
      </c>
      <c r="AP27" s="3">
        <v>1</v>
      </c>
      <c r="AQ27" s="3">
        <v>1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1</v>
      </c>
      <c r="AY27" s="3">
        <v>0</v>
      </c>
      <c r="AZ27" s="3">
        <v>0</v>
      </c>
      <c r="BA27" s="3">
        <v>5</v>
      </c>
      <c r="BB27" s="3" t="s">
        <v>498</v>
      </c>
      <c r="BC27" s="3" t="s">
        <v>727</v>
      </c>
      <c r="BD27" s="3" t="s">
        <v>728</v>
      </c>
      <c r="BE27" s="3" t="s">
        <v>499</v>
      </c>
      <c r="BF27" s="3" t="s">
        <v>729</v>
      </c>
      <c r="BG27" s="3" t="s">
        <v>730</v>
      </c>
    </row>
    <row r="28" spans="1:59" ht="70">
      <c r="A28" s="3" t="s">
        <v>265</v>
      </c>
      <c r="B28" s="3" t="s">
        <v>60</v>
      </c>
      <c r="C28" s="3" t="s">
        <v>61</v>
      </c>
      <c r="D28" s="3" t="s">
        <v>266</v>
      </c>
      <c r="E28" s="3" t="s">
        <v>266</v>
      </c>
      <c r="F28" s="3" t="s">
        <v>731</v>
      </c>
      <c r="G28" s="3" t="s">
        <v>267</v>
      </c>
      <c r="H28" s="3" t="s">
        <v>267</v>
      </c>
      <c r="I28" s="3" t="s">
        <v>64</v>
      </c>
      <c r="J28" s="3">
        <v>2024</v>
      </c>
      <c r="K28" s="3" t="s">
        <v>65</v>
      </c>
      <c r="L28" s="3" t="s">
        <v>66</v>
      </c>
      <c r="M28" s="3">
        <v>0</v>
      </c>
      <c r="N28" s="3" t="s">
        <v>732</v>
      </c>
      <c r="O28" s="4" t="s">
        <v>268</v>
      </c>
      <c r="P28" s="3" t="s">
        <v>269</v>
      </c>
      <c r="Q28" s="3" t="s">
        <v>270</v>
      </c>
      <c r="R28" s="3" t="s">
        <v>271</v>
      </c>
      <c r="S28" s="3" t="s">
        <v>268</v>
      </c>
      <c r="T28" s="3" t="s">
        <v>733</v>
      </c>
      <c r="U28" s="3" t="s">
        <v>734</v>
      </c>
      <c r="V28" s="3">
        <v>3</v>
      </c>
      <c r="W28" s="3">
        <v>2</v>
      </c>
      <c r="X28" s="3" t="s">
        <v>735</v>
      </c>
      <c r="Y28" s="3" t="s">
        <v>499</v>
      </c>
      <c r="Z28" s="3" t="s">
        <v>498</v>
      </c>
      <c r="AA28" s="3" t="s">
        <v>498</v>
      </c>
      <c r="AB28" s="3" t="s">
        <v>499</v>
      </c>
      <c r="AC28" s="3" t="s">
        <v>499</v>
      </c>
      <c r="AD28" s="3" t="s">
        <v>498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2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2</v>
      </c>
      <c r="AY28" s="3">
        <v>0</v>
      </c>
      <c r="AZ28" s="3">
        <v>0</v>
      </c>
      <c r="BA28" s="3">
        <v>6</v>
      </c>
      <c r="BB28" s="3" t="s">
        <v>499</v>
      </c>
      <c r="BC28" s="3" t="s">
        <v>736</v>
      </c>
      <c r="BD28" s="3" t="s">
        <v>737</v>
      </c>
      <c r="BE28" s="3" t="s">
        <v>499</v>
      </c>
      <c r="BF28" s="3" t="s">
        <v>738</v>
      </c>
      <c r="BG28" s="3" t="s">
        <v>739</v>
      </c>
    </row>
    <row r="29" spans="1:59" ht="70">
      <c r="A29" s="3" t="s">
        <v>272</v>
      </c>
      <c r="B29" s="3" t="s">
        <v>60</v>
      </c>
      <c r="C29" s="3" t="s">
        <v>61</v>
      </c>
      <c r="D29" s="3" t="s">
        <v>273</v>
      </c>
      <c r="E29" s="3" t="s">
        <v>273</v>
      </c>
      <c r="F29" s="3" t="s">
        <v>740</v>
      </c>
      <c r="G29" s="3" t="s">
        <v>274</v>
      </c>
      <c r="H29" s="3" t="s">
        <v>274</v>
      </c>
      <c r="I29" s="3" t="s">
        <v>81</v>
      </c>
      <c r="J29" s="3">
        <v>2024</v>
      </c>
      <c r="K29" s="3" t="s">
        <v>82</v>
      </c>
      <c r="L29" s="3" t="s">
        <v>66</v>
      </c>
      <c r="M29" s="3">
        <v>1</v>
      </c>
      <c r="N29" s="3" t="s">
        <v>741</v>
      </c>
      <c r="O29" s="4" t="s">
        <v>275</v>
      </c>
      <c r="P29" s="3" t="s">
        <v>276</v>
      </c>
      <c r="Q29" s="3" t="s">
        <v>277</v>
      </c>
      <c r="R29" s="3" t="s">
        <v>278</v>
      </c>
      <c r="S29" s="3" t="s">
        <v>275</v>
      </c>
      <c r="T29" s="3" t="s">
        <v>742</v>
      </c>
      <c r="U29" s="3" t="s">
        <v>743</v>
      </c>
      <c r="V29" s="3">
        <v>2</v>
      </c>
      <c r="W29" s="3">
        <v>2</v>
      </c>
      <c r="X29" s="3" t="s">
        <v>744</v>
      </c>
      <c r="Y29" s="3" t="s">
        <v>498</v>
      </c>
      <c r="Z29" s="3" t="s">
        <v>498</v>
      </c>
      <c r="AA29" s="3" t="s">
        <v>498</v>
      </c>
      <c r="AB29" s="3" t="s">
        <v>499</v>
      </c>
      <c r="AC29" s="3" t="s">
        <v>499</v>
      </c>
      <c r="AD29" s="3" t="s">
        <v>498</v>
      </c>
      <c r="AE29" s="3">
        <v>0</v>
      </c>
      <c r="AF29" s="3">
        <v>0</v>
      </c>
      <c r="AG29" s="3">
        <v>0</v>
      </c>
      <c r="AH29" s="3">
        <v>1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2</v>
      </c>
      <c r="AP29" s="3">
        <v>1</v>
      </c>
      <c r="AQ29" s="3">
        <v>2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1</v>
      </c>
      <c r="AY29" s="3">
        <v>0</v>
      </c>
      <c r="AZ29" s="3">
        <v>0</v>
      </c>
      <c r="BA29" s="3">
        <v>7</v>
      </c>
      <c r="BB29" s="3" t="s">
        <v>498</v>
      </c>
      <c r="BC29" s="3" t="s">
        <v>745</v>
      </c>
      <c r="BD29" s="3" t="s">
        <v>746</v>
      </c>
      <c r="BE29" s="3" t="s">
        <v>499</v>
      </c>
      <c r="BF29" s="3" t="s">
        <v>747</v>
      </c>
      <c r="BG29" s="3" t="s">
        <v>748</v>
      </c>
    </row>
    <row r="30" spans="1:59" ht="70">
      <c r="A30" s="3" t="s">
        <v>279</v>
      </c>
      <c r="B30" s="3" t="s">
        <v>60</v>
      </c>
      <c r="C30" s="3" t="s">
        <v>61</v>
      </c>
      <c r="D30" s="3" t="s">
        <v>280</v>
      </c>
      <c r="E30" s="3" t="s">
        <v>280</v>
      </c>
      <c r="F30" s="3" t="s">
        <v>749</v>
      </c>
      <c r="G30" s="3" t="s">
        <v>281</v>
      </c>
      <c r="H30" s="3" t="s">
        <v>281</v>
      </c>
      <c r="I30" s="3" t="s">
        <v>64</v>
      </c>
      <c r="J30" s="3">
        <v>2024</v>
      </c>
      <c r="K30" s="3" t="s">
        <v>65</v>
      </c>
      <c r="L30" s="3" t="s">
        <v>66</v>
      </c>
      <c r="M30" s="3">
        <v>0</v>
      </c>
      <c r="N30" s="3" t="s">
        <v>750</v>
      </c>
      <c r="O30" s="4" t="s">
        <v>282</v>
      </c>
      <c r="P30" s="3" t="s">
        <v>283</v>
      </c>
      <c r="Q30" s="3" t="s">
        <v>284</v>
      </c>
      <c r="R30" s="3" t="s">
        <v>285</v>
      </c>
      <c r="S30" s="3" t="s">
        <v>282</v>
      </c>
      <c r="T30" s="3" t="s">
        <v>751</v>
      </c>
      <c r="U30" s="3" t="s">
        <v>752</v>
      </c>
      <c r="V30" s="3">
        <v>3</v>
      </c>
      <c r="W30" s="3">
        <v>2</v>
      </c>
      <c r="X30" s="3" t="s">
        <v>753</v>
      </c>
      <c r="Y30" s="3" t="s">
        <v>498</v>
      </c>
      <c r="Z30" s="3" t="s">
        <v>498</v>
      </c>
      <c r="AA30" s="3" t="s">
        <v>498</v>
      </c>
      <c r="AB30" s="3" t="s">
        <v>499</v>
      </c>
      <c r="AC30" s="3" t="s">
        <v>499</v>
      </c>
      <c r="AD30" s="3" t="s">
        <v>498</v>
      </c>
      <c r="AE30" s="3">
        <v>0</v>
      </c>
      <c r="AF30" s="3">
        <v>0</v>
      </c>
      <c r="AG30" s="3">
        <v>0</v>
      </c>
      <c r="AH30" s="3">
        <v>1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</v>
      </c>
      <c r="AP30" s="3">
        <v>0</v>
      </c>
      <c r="AQ30" s="3">
        <v>1</v>
      </c>
      <c r="AR30" s="3">
        <v>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1</v>
      </c>
      <c r="AY30" s="3">
        <v>0</v>
      </c>
      <c r="AZ30" s="3">
        <v>0</v>
      </c>
      <c r="BA30" s="3">
        <v>5</v>
      </c>
      <c r="BB30" s="3" t="s">
        <v>499</v>
      </c>
      <c r="BC30" s="3" t="s">
        <v>754</v>
      </c>
      <c r="BD30" s="3" t="s">
        <v>755</v>
      </c>
      <c r="BE30" s="3" t="s">
        <v>499</v>
      </c>
      <c r="BF30" s="3" t="s">
        <v>756</v>
      </c>
      <c r="BG30" s="3" t="s">
        <v>757</v>
      </c>
    </row>
    <row r="31" spans="1:59" ht="70">
      <c r="A31" s="3" t="s">
        <v>286</v>
      </c>
      <c r="B31" s="3" t="s">
        <v>60</v>
      </c>
      <c r="C31" s="3" t="s">
        <v>61</v>
      </c>
      <c r="D31" s="3" t="s">
        <v>287</v>
      </c>
      <c r="E31" s="3" t="s">
        <v>287</v>
      </c>
      <c r="F31" s="3" t="s">
        <v>758</v>
      </c>
      <c r="G31" s="3" t="s">
        <v>288</v>
      </c>
      <c r="H31" s="3" t="s">
        <v>288</v>
      </c>
      <c r="I31" s="3" t="s">
        <v>64</v>
      </c>
      <c r="J31" s="3">
        <v>2024</v>
      </c>
      <c r="K31" s="3" t="s">
        <v>65</v>
      </c>
      <c r="L31" s="3" t="s">
        <v>66</v>
      </c>
      <c r="M31" s="3">
        <v>0</v>
      </c>
      <c r="N31" s="3" t="s">
        <v>759</v>
      </c>
      <c r="O31" s="4" t="s">
        <v>289</v>
      </c>
      <c r="P31" s="3" t="s">
        <v>290</v>
      </c>
      <c r="Q31" s="3" t="s">
        <v>291</v>
      </c>
      <c r="R31" s="3" t="s">
        <v>292</v>
      </c>
      <c r="S31" s="3" t="s">
        <v>289</v>
      </c>
      <c r="T31" s="3" t="s">
        <v>760</v>
      </c>
      <c r="U31" s="3" t="s">
        <v>761</v>
      </c>
      <c r="V31" s="3">
        <v>2</v>
      </c>
      <c r="W31" s="3">
        <v>2</v>
      </c>
      <c r="X31" s="3" t="s">
        <v>762</v>
      </c>
      <c r="Y31" s="3" t="s">
        <v>498</v>
      </c>
      <c r="Z31" s="3" t="s">
        <v>498</v>
      </c>
      <c r="AA31" s="3" t="s">
        <v>499</v>
      </c>
      <c r="AB31" s="3" t="s">
        <v>499</v>
      </c>
      <c r="AC31" s="3" t="s">
        <v>499</v>
      </c>
      <c r="AD31" s="3" t="s">
        <v>498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1</v>
      </c>
      <c r="AK31" s="3">
        <v>0</v>
      </c>
      <c r="AL31" s="3">
        <v>1</v>
      </c>
      <c r="AM31" s="3">
        <v>0</v>
      </c>
      <c r="AN31" s="3">
        <v>0</v>
      </c>
      <c r="AO31" s="3">
        <v>2</v>
      </c>
      <c r="AP31" s="3">
        <v>1</v>
      </c>
      <c r="AQ31" s="3">
        <v>1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1</v>
      </c>
      <c r="AY31" s="3">
        <v>0</v>
      </c>
      <c r="AZ31" s="3">
        <v>0</v>
      </c>
      <c r="BA31" s="3">
        <v>7</v>
      </c>
      <c r="BB31" s="3" t="s">
        <v>498</v>
      </c>
      <c r="BC31" s="3" t="s">
        <v>763</v>
      </c>
      <c r="BD31" s="3" t="s">
        <v>764</v>
      </c>
      <c r="BE31" s="3" t="s">
        <v>499</v>
      </c>
      <c r="BF31" s="3" t="s">
        <v>765</v>
      </c>
      <c r="BG31" s="3" t="s">
        <v>766</v>
      </c>
    </row>
    <row r="32" spans="1:59" ht="70">
      <c r="A32" s="3" t="s">
        <v>293</v>
      </c>
      <c r="B32" s="3" t="s">
        <v>60</v>
      </c>
      <c r="C32" s="3" t="s">
        <v>61</v>
      </c>
      <c r="D32" s="3" t="s">
        <v>294</v>
      </c>
      <c r="E32" s="3" t="s">
        <v>294</v>
      </c>
      <c r="F32" s="3" t="s">
        <v>767</v>
      </c>
      <c r="G32" s="3" t="s">
        <v>295</v>
      </c>
      <c r="H32" s="3" t="s">
        <v>295</v>
      </c>
      <c r="I32" s="3" t="s">
        <v>64</v>
      </c>
      <c r="J32" s="3">
        <v>2024</v>
      </c>
      <c r="K32" s="3" t="s">
        <v>296</v>
      </c>
      <c r="L32" s="3" t="s">
        <v>66</v>
      </c>
      <c r="M32" s="3">
        <v>2</v>
      </c>
      <c r="N32" s="3" t="s">
        <v>768</v>
      </c>
      <c r="O32" s="4" t="s">
        <v>297</v>
      </c>
      <c r="P32" s="3" t="s">
        <v>298</v>
      </c>
      <c r="Q32" s="3" t="s">
        <v>299</v>
      </c>
      <c r="R32" s="3" t="s">
        <v>300</v>
      </c>
      <c r="S32" s="3" t="s">
        <v>297</v>
      </c>
      <c r="T32" s="3" t="s">
        <v>769</v>
      </c>
      <c r="U32" s="3" t="s">
        <v>770</v>
      </c>
      <c r="V32" s="3">
        <v>4</v>
      </c>
      <c r="W32" s="3">
        <v>3</v>
      </c>
      <c r="X32" s="3" t="s">
        <v>771</v>
      </c>
      <c r="Y32" s="3" t="s">
        <v>499</v>
      </c>
      <c r="Z32" s="3" t="s">
        <v>498</v>
      </c>
      <c r="AA32" s="3" t="s">
        <v>499</v>
      </c>
      <c r="AB32" s="3" t="s">
        <v>499</v>
      </c>
      <c r="AC32" s="3" t="s">
        <v>499</v>
      </c>
      <c r="AD32" s="3" t="s">
        <v>499</v>
      </c>
      <c r="AE32" s="3">
        <v>3</v>
      </c>
      <c r="AF32" s="3">
        <v>3</v>
      </c>
      <c r="AG32" s="3">
        <v>3</v>
      </c>
      <c r="AH32" s="3">
        <v>2</v>
      </c>
      <c r="AI32" s="3">
        <v>0</v>
      </c>
      <c r="AJ32" s="3">
        <v>1</v>
      </c>
      <c r="AK32" s="3">
        <v>1</v>
      </c>
      <c r="AL32" s="3">
        <v>2</v>
      </c>
      <c r="AM32" s="3">
        <v>0</v>
      </c>
      <c r="AN32" s="3">
        <v>0</v>
      </c>
      <c r="AO32" s="3">
        <v>2</v>
      </c>
      <c r="AP32" s="3">
        <v>1</v>
      </c>
      <c r="AQ32" s="3">
        <v>2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3</v>
      </c>
      <c r="AX32" s="3">
        <v>1</v>
      </c>
      <c r="AY32" s="3">
        <v>3</v>
      </c>
      <c r="AZ32" s="3">
        <v>0</v>
      </c>
      <c r="BA32" s="3">
        <v>27</v>
      </c>
      <c r="BB32" s="3" t="s">
        <v>499</v>
      </c>
      <c r="BC32" s="3" t="s">
        <v>772</v>
      </c>
      <c r="BD32" s="3" t="s">
        <v>773</v>
      </c>
      <c r="BE32" s="3" t="s">
        <v>499</v>
      </c>
      <c r="BF32" s="3" t="s">
        <v>774</v>
      </c>
      <c r="BG32" s="3" t="s">
        <v>775</v>
      </c>
    </row>
    <row r="33" spans="1:59" ht="70">
      <c r="A33" s="3" t="s">
        <v>301</v>
      </c>
      <c r="B33" s="3" t="s">
        <v>60</v>
      </c>
      <c r="C33" s="3" t="s">
        <v>61</v>
      </c>
      <c r="D33" s="3" t="s">
        <v>302</v>
      </c>
      <c r="E33" s="3" t="s">
        <v>302</v>
      </c>
      <c r="F33" s="3" t="s">
        <v>776</v>
      </c>
      <c r="G33" s="3" t="s">
        <v>303</v>
      </c>
      <c r="H33" s="3" t="s">
        <v>303</v>
      </c>
      <c r="I33" s="3" t="s">
        <v>64</v>
      </c>
      <c r="J33" s="3">
        <v>2025</v>
      </c>
      <c r="K33" s="3" t="s">
        <v>304</v>
      </c>
      <c r="L33" s="3" t="s">
        <v>66</v>
      </c>
      <c r="M33" s="3">
        <v>0</v>
      </c>
      <c r="N33" s="3" t="s">
        <v>777</v>
      </c>
      <c r="O33" s="4" t="s">
        <v>305</v>
      </c>
      <c r="P33" s="3" t="s">
        <v>306</v>
      </c>
      <c r="Q33" s="3" t="s">
        <v>307</v>
      </c>
      <c r="R33" s="3" t="s">
        <v>308</v>
      </c>
      <c r="S33" s="3" t="s">
        <v>305</v>
      </c>
      <c r="T33" s="3" t="s">
        <v>947</v>
      </c>
      <c r="U33" s="3" t="s">
        <v>778</v>
      </c>
      <c r="V33" s="3">
        <v>0</v>
      </c>
      <c r="W33" s="3">
        <v>0</v>
      </c>
      <c r="X33" s="3" t="s">
        <v>448</v>
      </c>
      <c r="Y33" s="3" t="s">
        <v>498</v>
      </c>
      <c r="Z33" s="3" t="s">
        <v>498</v>
      </c>
      <c r="AA33" s="3" t="s">
        <v>498</v>
      </c>
      <c r="AB33" s="3" t="s">
        <v>498</v>
      </c>
      <c r="AC33" s="3" t="s">
        <v>498</v>
      </c>
      <c r="AD33" s="3" t="s">
        <v>498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 t="s">
        <v>498</v>
      </c>
      <c r="BC33" s="3" t="s">
        <v>779</v>
      </c>
      <c r="BD33" s="3" t="s">
        <v>780</v>
      </c>
      <c r="BE33" s="3" t="s">
        <v>499</v>
      </c>
      <c r="BF33" s="3" t="s">
        <v>781</v>
      </c>
      <c r="BG33" s="3" t="s">
        <v>782</v>
      </c>
    </row>
    <row r="34" spans="1:59" ht="70">
      <c r="A34" s="3" t="s">
        <v>309</v>
      </c>
      <c r="B34" s="3" t="s">
        <v>60</v>
      </c>
      <c r="C34" s="3" t="s">
        <v>61</v>
      </c>
      <c r="D34" s="3" t="s">
        <v>310</v>
      </c>
      <c r="E34" s="3" t="s">
        <v>310</v>
      </c>
      <c r="F34" s="3" t="s">
        <v>783</v>
      </c>
      <c r="G34" s="3" t="s">
        <v>311</v>
      </c>
      <c r="H34" s="3" t="s">
        <v>311</v>
      </c>
      <c r="I34" s="3" t="s">
        <v>64</v>
      </c>
      <c r="J34" s="3">
        <v>2025</v>
      </c>
      <c r="K34" s="3" t="s">
        <v>65</v>
      </c>
      <c r="L34" s="3" t="s">
        <v>66</v>
      </c>
      <c r="M34" s="3">
        <v>0</v>
      </c>
      <c r="N34" s="3" t="s">
        <v>784</v>
      </c>
      <c r="O34" s="4" t="s">
        <v>312</v>
      </c>
      <c r="P34" s="3" t="s">
        <v>313</v>
      </c>
      <c r="Q34" s="3" t="s">
        <v>314</v>
      </c>
      <c r="R34" s="3" t="s">
        <v>315</v>
      </c>
      <c r="S34" s="3" t="s">
        <v>312</v>
      </c>
      <c r="T34" s="3" t="s">
        <v>785</v>
      </c>
      <c r="U34" s="3" t="s">
        <v>786</v>
      </c>
      <c r="V34" s="3">
        <v>1</v>
      </c>
      <c r="W34" s="3">
        <v>1</v>
      </c>
      <c r="X34" s="3" t="s">
        <v>787</v>
      </c>
      <c r="Y34" s="3" t="s">
        <v>498</v>
      </c>
      <c r="Z34" s="3" t="s">
        <v>498</v>
      </c>
      <c r="AA34" s="3" t="s">
        <v>498</v>
      </c>
      <c r="AB34" s="3" t="s">
        <v>498</v>
      </c>
      <c r="AC34" s="3" t="s">
        <v>499</v>
      </c>
      <c r="AD34" s="3" t="s">
        <v>498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1</v>
      </c>
      <c r="AY34" s="3">
        <v>0</v>
      </c>
      <c r="AZ34" s="3">
        <v>0</v>
      </c>
      <c r="BA34" s="3">
        <v>1</v>
      </c>
      <c r="BB34" s="3" t="s">
        <v>498</v>
      </c>
      <c r="BC34" s="3" t="s">
        <v>788</v>
      </c>
      <c r="BD34" s="3" t="s">
        <v>789</v>
      </c>
      <c r="BE34" s="3" t="s">
        <v>499</v>
      </c>
      <c r="BF34" s="3" t="s">
        <v>790</v>
      </c>
      <c r="BG34" s="3" t="s">
        <v>791</v>
      </c>
    </row>
    <row r="35" spans="1:59" ht="70">
      <c r="A35" s="3" t="s">
        <v>316</v>
      </c>
      <c r="B35" s="3" t="s">
        <v>60</v>
      </c>
      <c r="C35" s="3" t="s">
        <v>61</v>
      </c>
      <c r="D35" s="3" t="s">
        <v>317</v>
      </c>
      <c r="E35" s="3" t="s">
        <v>317</v>
      </c>
      <c r="F35" s="3" t="s">
        <v>792</v>
      </c>
      <c r="G35" s="3" t="s">
        <v>318</v>
      </c>
      <c r="H35" s="3" t="s">
        <v>318</v>
      </c>
      <c r="I35" s="3" t="s">
        <v>64</v>
      </c>
      <c r="J35" s="3">
        <v>2025</v>
      </c>
      <c r="K35" s="3" t="s">
        <v>65</v>
      </c>
      <c r="L35" s="3" t="s">
        <v>66</v>
      </c>
      <c r="M35" s="3">
        <v>0</v>
      </c>
      <c r="N35" s="3" t="s">
        <v>793</v>
      </c>
      <c r="O35" s="4" t="s">
        <v>319</v>
      </c>
      <c r="P35" s="3" t="s">
        <v>320</v>
      </c>
      <c r="Q35" s="3" t="s">
        <v>321</v>
      </c>
      <c r="R35" s="3" t="s">
        <v>322</v>
      </c>
      <c r="S35" s="3" t="s">
        <v>319</v>
      </c>
      <c r="T35" s="3" t="s">
        <v>794</v>
      </c>
      <c r="U35" s="3" t="s">
        <v>795</v>
      </c>
      <c r="V35" s="3">
        <v>3</v>
      </c>
      <c r="W35" s="3">
        <v>1</v>
      </c>
      <c r="X35" s="3" t="s">
        <v>796</v>
      </c>
      <c r="Y35" s="3" t="s">
        <v>498</v>
      </c>
      <c r="Z35" s="3" t="s">
        <v>498</v>
      </c>
      <c r="AA35" s="3" t="s">
        <v>498</v>
      </c>
      <c r="AB35" s="3" t="s">
        <v>498</v>
      </c>
      <c r="AC35" s="3" t="s">
        <v>499</v>
      </c>
      <c r="AD35" s="3" t="s">
        <v>498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3">
        <v>0</v>
      </c>
      <c r="AZ35" s="3">
        <v>0</v>
      </c>
      <c r="BA35" s="3">
        <v>2</v>
      </c>
      <c r="BB35" s="3" t="s">
        <v>499</v>
      </c>
      <c r="BC35" s="3" t="s">
        <v>797</v>
      </c>
      <c r="BD35" s="3" t="s">
        <v>798</v>
      </c>
      <c r="BE35" s="3" t="s">
        <v>499</v>
      </c>
      <c r="BF35" s="3" t="s">
        <v>799</v>
      </c>
      <c r="BG35" s="3" t="s">
        <v>800</v>
      </c>
    </row>
    <row r="36" spans="1:59" ht="70">
      <c r="A36" s="3" t="s">
        <v>316</v>
      </c>
      <c r="B36" s="3" t="s">
        <v>60</v>
      </c>
      <c r="C36" s="3" t="s">
        <v>61</v>
      </c>
      <c r="D36" s="3" t="s">
        <v>317</v>
      </c>
      <c r="E36" s="3" t="s">
        <v>317</v>
      </c>
      <c r="F36" s="3" t="s">
        <v>801</v>
      </c>
      <c r="G36" s="3" t="s">
        <v>318</v>
      </c>
      <c r="H36" s="3" t="s">
        <v>802</v>
      </c>
      <c r="I36" s="3" t="s">
        <v>64</v>
      </c>
      <c r="J36" s="3">
        <v>2025</v>
      </c>
      <c r="K36" s="3" t="s">
        <v>65</v>
      </c>
      <c r="L36" s="3" t="s">
        <v>66</v>
      </c>
      <c r="M36" s="3">
        <v>0</v>
      </c>
      <c r="N36" s="3" t="s">
        <v>793</v>
      </c>
      <c r="O36" s="4" t="s">
        <v>319</v>
      </c>
      <c r="P36" s="3" t="s">
        <v>320</v>
      </c>
      <c r="Q36" s="3" t="s">
        <v>321</v>
      </c>
      <c r="R36" s="3" t="s">
        <v>322</v>
      </c>
      <c r="S36" s="3" t="s">
        <v>319</v>
      </c>
      <c r="T36" s="3" t="s">
        <v>803</v>
      </c>
      <c r="U36" s="3" t="s">
        <v>804</v>
      </c>
      <c r="V36" s="3">
        <v>1</v>
      </c>
      <c r="W36" s="3">
        <v>1</v>
      </c>
      <c r="X36" s="3" t="s">
        <v>805</v>
      </c>
      <c r="Y36" s="3" t="s">
        <v>498</v>
      </c>
      <c r="Z36" s="3" t="s">
        <v>498</v>
      </c>
      <c r="AA36" s="3" t="s">
        <v>498</v>
      </c>
      <c r="AB36" s="3" t="s">
        <v>806</v>
      </c>
      <c r="AC36" s="3" t="s">
        <v>499</v>
      </c>
      <c r="AD36" s="3" t="s">
        <v>498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0</v>
      </c>
      <c r="AZ36" s="3">
        <v>0</v>
      </c>
      <c r="BA36" s="3">
        <v>1</v>
      </c>
      <c r="BB36" s="3" t="s">
        <v>498</v>
      </c>
      <c r="BC36" s="3" t="s">
        <v>807</v>
      </c>
      <c r="BD36" s="3" t="s">
        <v>808</v>
      </c>
      <c r="BE36" s="3" t="s">
        <v>499</v>
      </c>
      <c r="BF36" s="3" t="s">
        <v>809</v>
      </c>
      <c r="BG36" s="3" t="s">
        <v>810</v>
      </c>
    </row>
    <row r="37" spans="1:59" ht="70">
      <c r="A37" s="3" t="s">
        <v>323</v>
      </c>
      <c r="B37" s="3" t="s">
        <v>60</v>
      </c>
      <c r="C37" s="3" t="s">
        <v>61</v>
      </c>
      <c r="D37" s="3" t="s">
        <v>324</v>
      </c>
      <c r="E37" s="3" t="s">
        <v>324</v>
      </c>
      <c r="F37" s="3" t="s">
        <v>811</v>
      </c>
      <c r="G37" s="3" t="s">
        <v>325</v>
      </c>
      <c r="H37" s="3" t="s">
        <v>325</v>
      </c>
      <c r="I37" s="3" t="s">
        <v>326</v>
      </c>
      <c r="J37" s="3">
        <v>2025</v>
      </c>
      <c r="K37" s="3" t="s">
        <v>137</v>
      </c>
      <c r="L37" s="3" t="s">
        <v>66</v>
      </c>
      <c r="M37" s="3">
        <v>0</v>
      </c>
      <c r="N37" s="3" t="s">
        <v>812</v>
      </c>
      <c r="O37" s="4" t="s">
        <v>327</v>
      </c>
      <c r="P37" s="3" t="s">
        <v>328</v>
      </c>
      <c r="Q37" s="3" t="s">
        <v>329</v>
      </c>
      <c r="R37" s="3" t="s">
        <v>330</v>
      </c>
      <c r="S37" s="3" t="s">
        <v>327</v>
      </c>
      <c r="T37" s="3" t="s">
        <v>817</v>
      </c>
      <c r="U37" s="3" t="s">
        <v>818</v>
      </c>
      <c r="V37" s="3">
        <v>0</v>
      </c>
      <c r="W37" s="3">
        <v>0</v>
      </c>
      <c r="X37" s="3" t="s">
        <v>448</v>
      </c>
      <c r="Y37" s="3" t="s">
        <v>498</v>
      </c>
      <c r="Z37" s="3" t="s">
        <v>498</v>
      </c>
      <c r="AA37" s="3" t="s">
        <v>498</v>
      </c>
      <c r="AB37" s="3" t="s">
        <v>498</v>
      </c>
      <c r="AC37" s="3" t="s">
        <v>498</v>
      </c>
      <c r="AD37" s="3" t="s">
        <v>498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 t="s">
        <v>498</v>
      </c>
      <c r="BC37" s="3" t="s">
        <v>813</v>
      </c>
      <c r="BD37" s="3" t="s">
        <v>814</v>
      </c>
      <c r="BE37" s="3" t="s">
        <v>498</v>
      </c>
      <c r="BF37" s="3" t="s">
        <v>815</v>
      </c>
      <c r="BG37" s="3" t="s">
        <v>816</v>
      </c>
    </row>
    <row r="38" spans="1:59" ht="70">
      <c r="A38" s="3" t="s">
        <v>331</v>
      </c>
      <c r="B38" s="3" t="s">
        <v>60</v>
      </c>
      <c r="C38" s="3" t="s">
        <v>61</v>
      </c>
      <c r="D38" s="3" t="s">
        <v>332</v>
      </c>
      <c r="E38" s="3" t="s">
        <v>332</v>
      </c>
      <c r="F38" s="3" t="s">
        <v>776</v>
      </c>
      <c r="G38" s="3" t="s">
        <v>333</v>
      </c>
      <c r="H38" s="3" t="s">
        <v>333</v>
      </c>
      <c r="I38" s="3" t="s">
        <v>230</v>
      </c>
      <c r="J38" s="3">
        <v>2025</v>
      </c>
      <c r="K38" s="3" t="s">
        <v>137</v>
      </c>
      <c r="L38" s="3" t="s">
        <v>66</v>
      </c>
      <c r="M38" s="3">
        <v>0</v>
      </c>
      <c r="N38" s="3" t="s">
        <v>819</v>
      </c>
      <c r="O38" s="4" t="s">
        <v>334</v>
      </c>
      <c r="P38" s="3" t="s">
        <v>335</v>
      </c>
      <c r="Q38" s="3" t="s">
        <v>336</v>
      </c>
      <c r="R38" s="3" t="s">
        <v>337</v>
      </c>
      <c r="S38" s="3" t="s">
        <v>334</v>
      </c>
      <c r="T38" s="3" t="s">
        <v>820</v>
      </c>
      <c r="U38" s="3" t="s">
        <v>821</v>
      </c>
      <c r="V38" s="3">
        <v>0</v>
      </c>
      <c r="W38" s="3">
        <v>0</v>
      </c>
      <c r="X38" s="3" t="s">
        <v>822</v>
      </c>
      <c r="Y38" s="3" t="s">
        <v>498</v>
      </c>
      <c r="Z38" s="3" t="s">
        <v>498</v>
      </c>
      <c r="AA38" s="3" t="s">
        <v>498</v>
      </c>
      <c r="AB38" s="3" t="s">
        <v>498</v>
      </c>
      <c r="AC38" s="3" t="s">
        <v>499</v>
      </c>
      <c r="AD38" s="3" t="s">
        <v>498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1</v>
      </c>
      <c r="AY38" s="3">
        <v>0</v>
      </c>
      <c r="AZ38" s="3">
        <v>0</v>
      </c>
      <c r="BA38" s="3">
        <v>1</v>
      </c>
      <c r="BB38" s="3" t="s">
        <v>498</v>
      </c>
      <c r="BC38" s="3" t="s">
        <v>823</v>
      </c>
      <c r="BD38" s="3" t="s">
        <v>824</v>
      </c>
      <c r="BE38" s="3" t="s">
        <v>498</v>
      </c>
      <c r="BF38" s="3" t="s">
        <v>825</v>
      </c>
      <c r="BG38" s="3" t="s">
        <v>826</v>
      </c>
    </row>
    <row r="39" spans="1:59" ht="70">
      <c r="A39" s="3" t="s">
        <v>338</v>
      </c>
      <c r="B39" s="3" t="s">
        <v>60</v>
      </c>
      <c r="C39" s="3" t="s">
        <v>61</v>
      </c>
      <c r="D39" s="3" t="s">
        <v>339</v>
      </c>
      <c r="E39" s="3" t="s">
        <v>339</v>
      </c>
      <c r="F39" s="3" t="s">
        <v>827</v>
      </c>
      <c r="G39" s="3" t="s">
        <v>340</v>
      </c>
      <c r="H39" s="3" t="s">
        <v>340</v>
      </c>
      <c r="I39" s="3" t="s">
        <v>81</v>
      </c>
      <c r="J39" s="3">
        <v>2026</v>
      </c>
      <c r="K39" s="3" t="s">
        <v>82</v>
      </c>
      <c r="L39" s="3" t="s">
        <v>83</v>
      </c>
      <c r="M39" s="3">
        <v>0</v>
      </c>
      <c r="N39" s="3" t="s">
        <v>828</v>
      </c>
      <c r="O39" s="4" t="s">
        <v>341</v>
      </c>
      <c r="P39" s="3" t="s">
        <v>342</v>
      </c>
      <c r="Q39" s="3" t="s">
        <v>343</v>
      </c>
      <c r="R39" s="3" t="s">
        <v>344</v>
      </c>
      <c r="S39" s="3" t="s">
        <v>341</v>
      </c>
      <c r="T39" s="3" t="s">
        <v>829</v>
      </c>
      <c r="U39" s="3" t="s">
        <v>830</v>
      </c>
      <c r="V39" s="3">
        <v>1</v>
      </c>
      <c r="W39" s="3">
        <v>2</v>
      </c>
      <c r="X39" s="3" t="s">
        <v>831</v>
      </c>
      <c r="Y39" s="3" t="s">
        <v>498</v>
      </c>
      <c r="Z39" s="3" t="s">
        <v>498</v>
      </c>
      <c r="AA39" s="3" t="s">
        <v>498</v>
      </c>
      <c r="AB39" s="3" t="s">
        <v>499</v>
      </c>
      <c r="AC39" s="3" t="s">
        <v>499</v>
      </c>
      <c r="AD39" s="3" t="s">
        <v>499</v>
      </c>
      <c r="AE39" s="3">
        <v>0</v>
      </c>
      <c r="AF39" s="3">
        <v>0</v>
      </c>
      <c r="AG39" s="3">
        <v>0</v>
      </c>
      <c r="AH39" s="3">
        <v>1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2</v>
      </c>
      <c r="AP39" s="3">
        <v>0</v>
      </c>
      <c r="AQ39" s="3">
        <v>2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3">
        <v>0</v>
      </c>
      <c r="AZ39" s="3">
        <v>2</v>
      </c>
      <c r="BA39" s="3">
        <v>10</v>
      </c>
      <c r="BB39" s="3" t="s">
        <v>498</v>
      </c>
      <c r="BC39" s="3" t="s">
        <v>832</v>
      </c>
      <c r="BD39" s="3" t="s">
        <v>833</v>
      </c>
      <c r="BE39" s="3" t="s">
        <v>498</v>
      </c>
      <c r="BF39" s="3" t="s">
        <v>834</v>
      </c>
      <c r="BG39" s="3" t="s">
        <v>835</v>
      </c>
    </row>
    <row r="40" spans="1:59" ht="70">
      <c r="A40" s="3" t="s">
        <v>345</v>
      </c>
      <c r="B40" s="3" t="s">
        <v>60</v>
      </c>
      <c r="C40" s="3" t="s">
        <v>61</v>
      </c>
      <c r="D40" s="3" t="s">
        <v>346</v>
      </c>
      <c r="E40" s="3" t="s">
        <v>346</v>
      </c>
      <c r="F40" s="3" t="s">
        <v>836</v>
      </c>
      <c r="G40" s="3" t="s">
        <v>347</v>
      </c>
      <c r="H40" s="3" t="s">
        <v>347</v>
      </c>
      <c r="I40" s="3" t="s">
        <v>246</v>
      </c>
      <c r="J40" s="3">
        <v>2026</v>
      </c>
      <c r="K40" s="3" t="s">
        <v>160</v>
      </c>
      <c r="L40" s="3" t="s">
        <v>161</v>
      </c>
      <c r="M40" s="3">
        <v>0</v>
      </c>
      <c r="N40" s="3" t="s">
        <v>837</v>
      </c>
      <c r="O40" s="4" t="s">
        <v>348</v>
      </c>
      <c r="P40" s="3" t="s">
        <v>349</v>
      </c>
      <c r="Q40" s="3" t="s">
        <v>350</v>
      </c>
      <c r="R40" s="3" t="s">
        <v>351</v>
      </c>
      <c r="S40" s="3" t="s">
        <v>348</v>
      </c>
      <c r="T40" s="3" t="s">
        <v>838</v>
      </c>
      <c r="U40" s="3" t="s">
        <v>839</v>
      </c>
      <c r="V40" s="3">
        <v>1</v>
      </c>
      <c r="W40" s="3">
        <v>1</v>
      </c>
      <c r="X40" s="3" t="s">
        <v>840</v>
      </c>
      <c r="Y40" s="3" t="s">
        <v>498</v>
      </c>
      <c r="Z40" s="3" t="s">
        <v>498</v>
      </c>
      <c r="AA40" s="3" t="s">
        <v>498</v>
      </c>
      <c r="AB40" s="3" t="s">
        <v>499</v>
      </c>
      <c r="AC40" s="3" t="s">
        <v>499</v>
      </c>
      <c r="AD40" s="3" t="s">
        <v>498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1</v>
      </c>
      <c r="AQ40" s="3">
        <v>2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2</v>
      </c>
      <c r="AY40" s="3">
        <v>0</v>
      </c>
      <c r="AZ40" s="3">
        <v>0</v>
      </c>
      <c r="BA40" s="3">
        <v>5</v>
      </c>
      <c r="BB40" s="3" t="s">
        <v>498</v>
      </c>
      <c r="BC40" s="3" t="s">
        <v>841</v>
      </c>
      <c r="BD40" s="3" t="s">
        <v>842</v>
      </c>
      <c r="BE40" s="3" t="s">
        <v>498</v>
      </c>
      <c r="BF40" s="3" t="s">
        <v>843</v>
      </c>
      <c r="BG40" s="3" t="s">
        <v>844</v>
      </c>
    </row>
    <row r="41" spans="1:59" ht="70">
      <c r="A41" s="3" t="s">
        <v>352</v>
      </c>
      <c r="B41" s="3" t="s">
        <v>60</v>
      </c>
      <c r="C41" s="3" t="s">
        <v>61</v>
      </c>
      <c r="D41" s="3" t="s">
        <v>353</v>
      </c>
      <c r="E41" s="3" t="s">
        <v>353</v>
      </c>
      <c r="F41" s="3" t="s">
        <v>845</v>
      </c>
      <c r="G41" s="3" t="s">
        <v>354</v>
      </c>
      <c r="H41" s="3" t="s">
        <v>354</v>
      </c>
      <c r="I41" s="3" t="s">
        <v>246</v>
      </c>
      <c r="J41" s="3">
        <v>2026</v>
      </c>
      <c r="K41" s="3" t="s">
        <v>92</v>
      </c>
      <c r="L41" s="3" t="s">
        <v>83</v>
      </c>
      <c r="M41" s="3">
        <v>0</v>
      </c>
      <c r="N41" s="3" t="s">
        <v>846</v>
      </c>
      <c r="O41" s="4" t="s">
        <v>355</v>
      </c>
      <c r="P41" s="3" t="s">
        <v>356</v>
      </c>
      <c r="Q41" s="3" t="s">
        <v>357</v>
      </c>
      <c r="R41" s="3" t="s">
        <v>358</v>
      </c>
      <c r="S41" s="3" t="s">
        <v>355</v>
      </c>
      <c r="T41" s="3" t="s">
        <v>847</v>
      </c>
      <c r="U41" s="3" t="s">
        <v>848</v>
      </c>
      <c r="V41" s="3">
        <v>1</v>
      </c>
      <c r="W41" s="3">
        <v>1</v>
      </c>
      <c r="X41" s="3" t="s">
        <v>849</v>
      </c>
      <c r="Y41" s="3" t="s">
        <v>498</v>
      </c>
      <c r="Z41" s="3" t="s">
        <v>498</v>
      </c>
      <c r="AA41" s="3" t="s">
        <v>498</v>
      </c>
      <c r="AB41" s="3" t="s">
        <v>498</v>
      </c>
      <c r="AC41" s="3" t="s">
        <v>499</v>
      </c>
      <c r="AD41" s="3" t="s">
        <v>498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1</v>
      </c>
      <c r="AY41" s="3">
        <v>0</v>
      </c>
      <c r="AZ41" s="3">
        <v>0</v>
      </c>
      <c r="BA41" s="3">
        <v>1</v>
      </c>
      <c r="BB41" s="3" t="s">
        <v>498</v>
      </c>
      <c r="BC41" s="3" t="s">
        <v>850</v>
      </c>
      <c r="BD41" s="3" t="s">
        <v>851</v>
      </c>
      <c r="BE41" s="3" t="s">
        <v>498</v>
      </c>
      <c r="BF41" s="3" t="s">
        <v>852</v>
      </c>
      <c r="BG41" s="3" t="s">
        <v>853</v>
      </c>
    </row>
    <row r="42" spans="1:59" ht="70">
      <c r="A42" s="3" t="s">
        <v>359</v>
      </c>
      <c r="B42" s="3" t="s">
        <v>60</v>
      </c>
      <c r="C42" s="3" t="s">
        <v>61</v>
      </c>
      <c r="D42" s="3" t="s">
        <v>360</v>
      </c>
      <c r="E42" s="3" t="s">
        <v>360</v>
      </c>
      <c r="F42" s="3" t="s">
        <v>854</v>
      </c>
      <c r="G42" s="3" t="s">
        <v>361</v>
      </c>
      <c r="H42" s="3" t="s">
        <v>855</v>
      </c>
      <c r="I42" s="3" t="s">
        <v>362</v>
      </c>
      <c r="J42" s="3">
        <v>2026</v>
      </c>
      <c r="K42" s="3" t="s">
        <v>137</v>
      </c>
      <c r="L42" s="3" t="s">
        <v>66</v>
      </c>
      <c r="M42" s="3">
        <v>0</v>
      </c>
      <c r="N42" s="3" t="s">
        <v>856</v>
      </c>
      <c r="O42" s="4" t="s">
        <v>363</v>
      </c>
      <c r="P42" s="3" t="s">
        <v>364</v>
      </c>
      <c r="Q42" s="3" t="s">
        <v>365</v>
      </c>
      <c r="R42" s="3" t="s">
        <v>366</v>
      </c>
      <c r="S42" s="3" t="s">
        <v>363</v>
      </c>
      <c r="T42" s="3" t="s">
        <v>857</v>
      </c>
      <c r="U42" s="3" t="s">
        <v>858</v>
      </c>
      <c r="V42" s="3">
        <v>2</v>
      </c>
      <c r="W42" s="3">
        <v>2</v>
      </c>
      <c r="X42" s="3" t="s">
        <v>859</v>
      </c>
      <c r="Y42" s="3" t="s">
        <v>498</v>
      </c>
      <c r="Z42" s="3" t="s">
        <v>498</v>
      </c>
      <c r="AA42" s="3" t="s">
        <v>806</v>
      </c>
      <c r="AB42" s="3" t="s">
        <v>499</v>
      </c>
      <c r="AC42" s="3" t="s">
        <v>499</v>
      </c>
      <c r="AD42" s="3" t="s">
        <v>498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2</v>
      </c>
      <c r="AP42" s="3">
        <v>1</v>
      </c>
      <c r="AQ42" s="3">
        <v>1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1</v>
      </c>
      <c r="AY42" s="3">
        <v>0</v>
      </c>
      <c r="AZ42" s="3">
        <v>0</v>
      </c>
      <c r="BA42" s="3">
        <v>6</v>
      </c>
      <c r="BB42" s="3" t="s">
        <v>498</v>
      </c>
      <c r="BC42" s="3" t="s">
        <v>860</v>
      </c>
      <c r="BD42" s="3" t="s">
        <v>861</v>
      </c>
      <c r="BE42" s="3" t="s">
        <v>498</v>
      </c>
      <c r="BF42" s="3" t="s">
        <v>862</v>
      </c>
      <c r="BG42" s="3" t="s">
        <v>863</v>
      </c>
    </row>
    <row r="43" spans="1:59" ht="75">
      <c r="A43" s="3" t="s">
        <v>711</v>
      </c>
      <c r="B43" s="3" t="s">
        <v>367</v>
      </c>
      <c r="C43" s="3" t="s">
        <v>368</v>
      </c>
      <c r="D43" s="3" t="s">
        <v>710</v>
      </c>
      <c r="E43" s="3"/>
      <c r="F43" s="3" t="s">
        <v>864</v>
      </c>
      <c r="G43" s="3" t="s">
        <v>369</v>
      </c>
      <c r="H43" s="3" t="s">
        <v>865</v>
      </c>
      <c r="I43" s="3" t="s">
        <v>370</v>
      </c>
      <c r="J43" s="3">
        <v>2025</v>
      </c>
      <c r="K43" s="3" t="s">
        <v>371</v>
      </c>
      <c r="L43" s="3" t="s">
        <v>372</v>
      </c>
      <c r="M43" s="3"/>
      <c r="N43" s="3" t="s">
        <v>373</v>
      </c>
      <c r="O43" s="4" t="s">
        <v>374</v>
      </c>
      <c r="P43" s="4" t="s">
        <v>375</v>
      </c>
      <c r="Q43" s="3"/>
      <c r="R43" s="3"/>
      <c r="S43" s="3" t="s">
        <v>374</v>
      </c>
      <c r="T43" s="3" t="s">
        <v>866</v>
      </c>
      <c r="U43" s="3" t="s">
        <v>867</v>
      </c>
      <c r="V43" s="3">
        <v>4</v>
      </c>
      <c r="W43" s="3">
        <v>3</v>
      </c>
      <c r="X43" s="3" t="s">
        <v>868</v>
      </c>
      <c r="Y43" s="3" t="s">
        <v>499</v>
      </c>
      <c r="Z43" s="3" t="s">
        <v>498</v>
      </c>
      <c r="AA43" s="3" t="s">
        <v>499</v>
      </c>
      <c r="AB43" s="3" t="s">
        <v>499</v>
      </c>
      <c r="AC43" s="3" t="s">
        <v>499</v>
      </c>
      <c r="AD43" s="3" t="s">
        <v>499</v>
      </c>
      <c r="AE43" s="3">
        <v>3</v>
      </c>
      <c r="AF43" s="3">
        <v>3</v>
      </c>
      <c r="AG43" s="3">
        <v>3</v>
      </c>
      <c r="AH43" s="3">
        <v>2</v>
      </c>
      <c r="AI43" s="3">
        <v>2</v>
      </c>
      <c r="AJ43" s="3">
        <v>2</v>
      </c>
      <c r="AK43" s="3">
        <v>0</v>
      </c>
      <c r="AL43" s="3">
        <v>2</v>
      </c>
      <c r="AM43" s="3">
        <v>1</v>
      </c>
      <c r="AN43" s="3">
        <v>1</v>
      </c>
      <c r="AO43" s="3">
        <v>2</v>
      </c>
      <c r="AP43" s="3">
        <v>2</v>
      </c>
      <c r="AQ43" s="3">
        <v>2</v>
      </c>
      <c r="AR43" s="3">
        <v>1</v>
      </c>
      <c r="AS43" s="3">
        <v>0</v>
      </c>
      <c r="AT43" s="3">
        <v>0</v>
      </c>
      <c r="AU43" s="3">
        <v>0</v>
      </c>
      <c r="AV43" s="3">
        <v>0</v>
      </c>
      <c r="AW43" s="3">
        <v>3</v>
      </c>
      <c r="AX43" s="3">
        <v>3</v>
      </c>
      <c r="AY43" s="3">
        <v>3</v>
      </c>
      <c r="AZ43" s="3">
        <v>2</v>
      </c>
      <c r="BA43" s="3">
        <v>37</v>
      </c>
      <c r="BB43" s="3" t="s">
        <v>499</v>
      </c>
      <c r="BC43" s="3" t="s">
        <v>869</v>
      </c>
      <c r="BD43" s="3" t="s">
        <v>870</v>
      </c>
      <c r="BE43" s="3" t="s">
        <v>498</v>
      </c>
      <c r="BF43" s="3" t="s">
        <v>871</v>
      </c>
      <c r="BG43" s="3" t="s">
        <v>872</v>
      </c>
    </row>
    <row r="44" spans="1:59" ht="105">
      <c r="A44" s="3" t="s">
        <v>376</v>
      </c>
      <c r="B44" s="3" t="s">
        <v>367</v>
      </c>
      <c r="C44" s="3" t="s">
        <v>368</v>
      </c>
      <c r="D44" s="3" t="s">
        <v>377</v>
      </c>
      <c r="E44" s="3"/>
      <c r="F44" s="3" t="s">
        <v>873</v>
      </c>
      <c r="G44" s="3" t="s">
        <v>378</v>
      </c>
      <c r="H44" s="3" t="s">
        <v>378</v>
      </c>
      <c r="I44" s="3" t="s">
        <v>370</v>
      </c>
      <c r="J44" s="3">
        <v>2024</v>
      </c>
      <c r="K44" s="3" t="s">
        <v>371</v>
      </c>
      <c r="L44" s="3" t="s">
        <v>372</v>
      </c>
      <c r="M44" s="3"/>
      <c r="N44" s="3" t="s">
        <v>379</v>
      </c>
      <c r="O44" s="4" t="s">
        <v>380</v>
      </c>
      <c r="P44" s="4" t="s">
        <v>381</v>
      </c>
      <c r="Q44" s="3"/>
      <c r="R44" s="3"/>
      <c r="S44" s="3" t="s">
        <v>380</v>
      </c>
      <c r="T44" s="3" t="s">
        <v>874</v>
      </c>
      <c r="U44" s="3" t="s">
        <v>875</v>
      </c>
      <c r="V44" s="3">
        <v>4</v>
      </c>
      <c r="W44" s="3">
        <v>3</v>
      </c>
      <c r="X44" s="3" t="s">
        <v>876</v>
      </c>
      <c r="Y44" s="3" t="s">
        <v>499</v>
      </c>
      <c r="Z44" s="3" t="s">
        <v>498</v>
      </c>
      <c r="AA44" s="3" t="s">
        <v>499</v>
      </c>
      <c r="AB44" s="3" t="s">
        <v>499</v>
      </c>
      <c r="AC44" s="3" t="s">
        <v>499</v>
      </c>
      <c r="AD44" s="3" t="s">
        <v>499</v>
      </c>
      <c r="AE44" s="3">
        <v>3</v>
      </c>
      <c r="AF44" s="3">
        <v>3</v>
      </c>
      <c r="AG44" s="3">
        <v>3</v>
      </c>
      <c r="AH44" s="3">
        <v>3</v>
      </c>
      <c r="AI44" s="3">
        <v>2</v>
      </c>
      <c r="AJ44" s="3">
        <v>2</v>
      </c>
      <c r="AK44" s="3">
        <v>1</v>
      </c>
      <c r="AL44" s="3">
        <v>2</v>
      </c>
      <c r="AM44" s="3">
        <v>1</v>
      </c>
      <c r="AN44" s="3">
        <v>0</v>
      </c>
      <c r="AO44" s="3">
        <v>2</v>
      </c>
      <c r="AP44" s="3">
        <v>2</v>
      </c>
      <c r="AQ44" s="3">
        <v>2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3</v>
      </c>
      <c r="AX44" s="3">
        <v>3</v>
      </c>
      <c r="AY44" s="3">
        <v>3</v>
      </c>
      <c r="AZ44" s="3">
        <v>3</v>
      </c>
      <c r="BA44" s="3">
        <v>38</v>
      </c>
      <c r="BB44" s="3" t="s">
        <v>499</v>
      </c>
      <c r="BC44" s="3" t="s">
        <v>877</v>
      </c>
      <c r="BD44" s="3" t="s">
        <v>878</v>
      </c>
      <c r="BE44" s="3" t="s">
        <v>498</v>
      </c>
      <c r="BF44" s="3" t="s">
        <v>879</v>
      </c>
      <c r="BG44" s="3" t="s">
        <v>880</v>
      </c>
    </row>
    <row r="45" spans="1:59" ht="75">
      <c r="A45" s="3" t="s">
        <v>881</v>
      </c>
      <c r="B45" s="3" t="s">
        <v>367</v>
      </c>
      <c r="C45" s="3" t="s">
        <v>368</v>
      </c>
      <c r="D45" s="3" t="s">
        <v>882</v>
      </c>
      <c r="E45" s="3"/>
      <c r="F45" s="3" t="s">
        <v>883</v>
      </c>
      <c r="G45" s="3" t="s">
        <v>382</v>
      </c>
      <c r="H45" s="3" t="s">
        <v>884</v>
      </c>
      <c r="I45" s="3" t="s">
        <v>370</v>
      </c>
      <c r="J45" s="3" t="s">
        <v>383</v>
      </c>
      <c r="K45" s="3" t="s">
        <v>371</v>
      </c>
      <c r="L45" s="3" t="s">
        <v>372</v>
      </c>
      <c r="M45" s="3"/>
      <c r="N45" s="3" t="s">
        <v>384</v>
      </c>
      <c r="O45" s="4" t="s">
        <v>385</v>
      </c>
      <c r="P45" s="4" t="s">
        <v>386</v>
      </c>
      <c r="Q45" s="3"/>
      <c r="R45" s="3"/>
      <c r="S45" s="3" t="s">
        <v>385</v>
      </c>
      <c r="T45" s="3" t="s">
        <v>885</v>
      </c>
      <c r="U45" s="3" t="s">
        <v>886</v>
      </c>
      <c r="V45" s="3">
        <v>3</v>
      </c>
      <c r="W45" s="3">
        <v>3</v>
      </c>
      <c r="X45" s="3" t="s">
        <v>887</v>
      </c>
      <c r="Y45" s="3" t="s">
        <v>499</v>
      </c>
      <c r="Z45" s="3" t="s">
        <v>498</v>
      </c>
      <c r="AA45" s="3" t="s">
        <v>499</v>
      </c>
      <c r="AB45" s="3" t="s">
        <v>499</v>
      </c>
      <c r="AC45" s="3" t="s">
        <v>499</v>
      </c>
      <c r="AD45" s="3" t="s">
        <v>499</v>
      </c>
      <c r="AE45" s="3">
        <v>3</v>
      </c>
      <c r="AF45" s="3">
        <v>3</v>
      </c>
      <c r="AG45" s="3">
        <v>3</v>
      </c>
      <c r="AH45" s="3">
        <v>3</v>
      </c>
      <c r="AI45" s="3">
        <v>0</v>
      </c>
      <c r="AJ45" s="3">
        <v>1</v>
      </c>
      <c r="AK45" s="3">
        <v>0</v>
      </c>
      <c r="AL45" s="3">
        <v>1</v>
      </c>
      <c r="AM45" s="3">
        <v>0</v>
      </c>
      <c r="AN45" s="3">
        <v>0</v>
      </c>
      <c r="AO45" s="3">
        <v>1</v>
      </c>
      <c r="AP45" s="3">
        <v>1</v>
      </c>
      <c r="AQ45" s="3">
        <v>2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3</v>
      </c>
      <c r="AX45" s="3">
        <v>3</v>
      </c>
      <c r="AY45" s="3">
        <v>3</v>
      </c>
      <c r="AZ45" s="3">
        <v>0</v>
      </c>
      <c r="BA45" s="3">
        <v>27</v>
      </c>
      <c r="BB45" s="3" t="s">
        <v>499</v>
      </c>
      <c r="BC45" s="3" t="s">
        <v>888</v>
      </c>
      <c r="BD45" s="3" t="s">
        <v>889</v>
      </c>
      <c r="BE45" s="3" t="s">
        <v>499</v>
      </c>
      <c r="BF45" s="3" t="s">
        <v>890</v>
      </c>
      <c r="BG45" s="3" t="s">
        <v>891</v>
      </c>
    </row>
    <row r="46" spans="1:59" ht="84">
      <c r="A46" s="3" t="s">
        <v>387</v>
      </c>
      <c r="B46" s="3" t="s">
        <v>367</v>
      </c>
      <c r="C46" s="3" t="s">
        <v>368</v>
      </c>
      <c r="D46" s="3" t="s">
        <v>388</v>
      </c>
      <c r="E46" s="3"/>
      <c r="F46" s="3"/>
      <c r="G46" s="3" t="s">
        <v>389</v>
      </c>
      <c r="H46" s="3" t="s">
        <v>389</v>
      </c>
      <c r="I46" s="3" t="s">
        <v>390</v>
      </c>
      <c r="J46" s="3" t="s">
        <v>391</v>
      </c>
      <c r="K46" s="3" t="s">
        <v>371</v>
      </c>
      <c r="L46" s="3" t="s">
        <v>372</v>
      </c>
      <c r="M46" s="3"/>
      <c r="N46" s="3" t="s">
        <v>892</v>
      </c>
      <c r="O46" s="4" t="s">
        <v>392</v>
      </c>
      <c r="P46" s="3" t="s">
        <v>393</v>
      </c>
      <c r="Q46" s="3"/>
      <c r="R46" s="3"/>
      <c r="S46" s="3" t="s">
        <v>392</v>
      </c>
      <c r="T46" s="3" t="s">
        <v>893</v>
      </c>
      <c r="U46" s="3" t="s">
        <v>894</v>
      </c>
      <c r="V46" s="3">
        <v>3</v>
      </c>
      <c r="W46" s="3">
        <v>3</v>
      </c>
      <c r="X46" s="3" t="s">
        <v>895</v>
      </c>
      <c r="Y46" s="3" t="s">
        <v>499</v>
      </c>
      <c r="Z46" s="3" t="s">
        <v>498</v>
      </c>
      <c r="AA46" s="3" t="s">
        <v>499</v>
      </c>
      <c r="AB46" s="3" t="s">
        <v>499</v>
      </c>
      <c r="AC46" s="3" t="s">
        <v>499</v>
      </c>
      <c r="AD46" s="3" t="s">
        <v>499</v>
      </c>
      <c r="AE46" s="3">
        <v>3</v>
      </c>
      <c r="AF46" s="3">
        <v>3</v>
      </c>
      <c r="AG46" s="3">
        <v>3</v>
      </c>
      <c r="AH46" s="3">
        <v>3</v>
      </c>
      <c r="AI46" s="3">
        <v>0</v>
      </c>
      <c r="AJ46" s="3">
        <v>2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2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3</v>
      </c>
      <c r="AX46" s="3">
        <v>3</v>
      </c>
      <c r="AY46" s="3">
        <v>3</v>
      </c>
      <c r="AZ46" s="3">
        <v>3</v>
      </c>
      <c r="BA46" s="3">
        <v>28</v>
      </c>
      <c r="BB46" s="3" t="s">
        <v>499</v>
      </c>
      <c r="BC46" s="3" t="s">
        <v>896</v>
      </c>
      <c r="BD46" s="3" t="s">
        <v>897</v>
      </c>
      <c r="BE46" s="3" t="s">
        <v>499</v>
      </c>
      <c r="BF46" s="3" t="s">
        <v>898</v>
      </c>
      <c r="BG46" s="3" t="s">
        <v>899</v>
      </c>
    </row>
    <row r="47" spans="1:59" ht="98">
      <c r="A47" s="3" t="s">
        <v>394</v>
      </c>
      <c r="B47" s="3" t="s">
        <v>395</v>
      </c>
      <c r="C47" s="3" t="s">
        <v>396</v>
      </c>
      <c r="D47" s="3" t="s">
        <v>397</v>
      </c>
      <c r="E47" s="3"/>
      <c r="F47" s="3" t="s">
        <v>900</v>
      </c>
      <c r="G47" s="3" t="s">
        <v>398</v>
      </c>
      <c r="H47" s="3" t="s">
        <v>901</v>
      </c>
      <c r="I47" s="3" t="s">
        <v>399</v>
      </c>
      <c r="J47" s="3">
        <v>2026</v>
      </c>
      <c r="K47" s="3" t="s">
        <v>371</v>
      </c>
      <c r="L47" s="3" t="s">
        <v>400</v>
      </c>
      <c r="M47" s="3"/>
      <c r="N47" s="3" t="s">
        <v>902</v>
      </c>
      <c r="O47" s="4" t="s">
        <v>401</v>
      </c>
      <c r="P47" s="3" t="s">
        <v>402</v>
      </c>
      <c r="Q47" s="3"/>
      <c r="R47" s="3"/>
      <c r="S47" s="3" t="s">
        <v>401</v>
      </c>
      <c r="T47" s="3" t="s">
        <v>903</v>
      </c>
      <c r="U47" s="3" t="s">
        <v>904</v>
      </c>
      <c r="V47" s="3">
        <v>4</v>
      </c>
      <c r="W47" s="3">
        <v>3</v>
      </c>
      <c r="X47" s="3" t="s">
        <v>905</v>
      </c>
      <c r="Y47" s="3" t="s">
        <v>499</v>
      </c>
      <c r="Z47" s="3" t="s">
        <v>498</v>
      </c>
      <c r="AA47" s="3" t="s">
        <v>499</v>
      </c>
      <c r="AB47" s="3" t="s">
        <v>499</v>
      </c>
      <c r="AC47" s="3" t="s">
        <v>499</v>
      </c>
      <c r="AD47" s="3" t="s">
        <v>498</v>
      </c>
      <c r="AE47" s="3">
        <v>3</v>
      </c>
      <c r="AF47" s="3">
        <v>1</v>
      </c>
      <c r="AG47" s="3">
        <v>0</v>
      </c>
      <c r="AH47" s="3">
        <v>0</v>
      </c>
      <c r="AI47" s="3">
        <v>0</v>
      </c>
      <c r="AJ47" s="3">
        <v>1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2</v>
      </c>
      <c r="AQ47" s="3">
        <v>2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1</v>
      </c>
      <c r="AX47" s="3">
        <v>1</v>
      </c>
      <c r="AY47" s="3">
        <v>0</v>
      </c>
      <c r="AZ47" s="3">
        <v>0</v>
      </c>
      <c r="BA47" s="3">
        <v>11</v>
      </c>
      <c r="BB47" s="3" t="s">
        <v>499</v>
      </c>
      <c r="BC47" s="3" t="s">
        <v>941</v>
      </c>
      <c r="BD47" s="3" t="s">
        <v>906</v>
      </c>
      <c r="BE47" s="3" t="s">
        <v>499</v>
      </c>
      <c r="BF47" s="3" t="s">
        <v>907</v>
      </c>
      <c r="BG47" s="3" t="s">
        <v>908</v>
      </c>
    </row>
    <row r="48" spans="1:59" ht="70">
      <c r="A48" s="3" t="s">
        <v>403</v>
      </c>
      <c r="B48" s="3" t="s">
        <v>395</v>
      </c>
      <c r="C48" s="3" t="s">
        <v>396</v>
      </c>
      <c r="D48" s="3" t="s">
        <v>404</v>
      </c>
      <c r="E48" s="3"/>
      <c r="F48" s="3" t="s">
        <v>909</v>
      </c>
      <c r="G48" s="3" t="s">
        <v>405</v>
      </c>
      <c r="H48" s="3" t="s">
        <v>405</v>
      </c>
      <c r="I48" s="3" t="s">
        <v>406</v>
      </c>
      <c r="J48" s="3">
        <v>2025</v>
      </c>
      <c r="K48" s="3" t="s">
        <v>371</v>
      </c>
      <c r="L48" s="3" t="s">
        <v>400</v>
      </c>
      <c r="M48" s="3"/>
      <c r="N48" s="3" t="s">
        <v>407</v>
      </c>
      <c r="O48" s="4" t="s">
        <v>408</v>
      </c>
      <c r="P48" s="3" t="s">
        <v>409</v>
      </c>
      <c r="Q48" s="3"/>
      <c r="R48" s="3"/>
      <c r="S48" s="3" t="s">
        <v>408</v>
      </c>
      <c r="T48" s="3" t="s">
        <v>948</v>
      </c>
      <c r="U48" s="3" t="s">
        <v>910</v>
      </c>
      <c r="V48" s="3">
        <v>2</v>
      </c>
      <c r="W48" s="3">
        <v>3</v>
      </c>
      <c r="X48" s="3" t="s">
        <v>454</v>
      </c>
      <c r="Y48" s="3" t="s">
        <v>498</v>
      </c>
      <c r="Z48" s="3" t="s">
        <v>498</v>
      </c>
      <c r="AA48" s="3" t="s">
        <v>499</v>
      </c>
      <c r="AB48" s="3" t="s">
        <v>499</v>
      </c>
      <c r="AC48" s="3" t="s">
        <v>498</v>
      </c>
      <c r="AD48" s="3" t="s">
        <v>498</v>
      </c>
      <c r="AE48" s="3">
        <v>0</v>
      </c>
      <c r="AF48" s="3">
        <v>0</v>
      </c>
      <c r="AG48" s="3">
        <v>0</v>
      </c>
      <c r="AH48" s="3">
        <v>1</v>
      </c>
      <c r="AI48" s="3">
        <v>0</v>
      </c>
      <c r="AJ48" s="3">
        <v>2</v>
      </c>
      <c r="AK48" s="3">
        <v>0</v>
      </c>
      <c r="AL48" s="3">
        <v>1</v>
      </c>
      <c r="AM48" s="3">
        <v>0</v>
      </c>
      <c r="AN48" s="3">
        <v>1</v>
      </c>
      <c r="AO48" s="3">
        <v>2</v>
      </c>
      <c r="AP48" s="3">
        <v>1</v>
      </c>
      <c r="AQ48" s="3">
        <v>2</v>
      </c>
      <c r="AR48" s="3">
        <v>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12</v>
      </c>
      <c r="BB48" s="3" t="s">
        <v>498</v>
      </c>
      <c r="BC48" s="3" t="s">
        <v>911</v>
      </c>
      <c r="BD48" s="3" t="s">
        <v>912</v>
      </c>
      <c r="BE48" s="3" t="s">
        <v>499</v>
      </c>
      <c r="BF48" s="3" t="s">
        <v>913</v>
      </c>
      <c r="BG48" s="3" t="s">
        <v>914</v>
      </c>
    </row>
    <row r="49" spans="1:59" ht="60">
      <c r="A49" s="3" t="s">
        <v>410</v>
      </c>
      <c r="B49" s="3" t="s">
        <v>395</v>
      </c>
      <c r="C49" s="3" t="s">
        <v>396</v>
      </c>
      <c r="D49" s="3" t="s">
        <v>411</v>
      </c>
      <c r="E49" s="3"/>
      <c r="F49" s="3" t="s">
        <v>915</v>
      </c>
      <c r="G49" s="3" t="s">
        <v>412</v>
      </c>
      <c r="H49" s="3" t="s">
        <v>916</v>
      </c>
      <c r="I49" s="3" t="s">
        <v>413</v>
      </c>
      <c r="J49" s="3">
        <v>0</v>
      </c>
      <c r="K49" s="3" t="s">
        <v>371</v>
      </c>
      <c r="L49" s="3" t="s">
        <v>400</v>
      </c>
      <c r="M49" s="3"/>
      <c r="N49" s="3" t="s">
        <v>414</v>
      </c>
      <c r="O49" s="4" t="s">
        <v>415</v>
      </c>
      <c r="P49" s="3" t="s">
        <v>416</v>
      </c>
      <c r="Q49" s="3"/>
      <c r="R49" s="3"/>
      <c r="S49" s="3" t="s">
        <v>415</v>
      </c>
      <c r="T49" s="3" t="s">
        <v>917</v>
      </c>
      <c r="U49" s="3" t="s">
        <v>918</v>
      </c>
      <c r="V49" s="3">
        <v>3</v>
      </c>
      <c r="W49" s="3">
        <v>2</v>
      </c>
      <c r="X49" s="3" t="s">
        <v>919</v>
      </c>
      <c r="Y49" s="3" t="s">
        <v>499</v>
      </c>
      <c r="Z49" s="3" t="s">
        <v>498</v>
      </c>
      <c r="AA49" s="3" t="s">
        <v>498</v>
      </c>
      <c r="AB49" s="3" t="s">
        <v>806</v>
      </c>
      <c r="AC49" s="3" t="s">
        <v>499</v>
      </c>
      <c r="AD49" s="3" t="s">
        <v>498</v>
      </c>
      <c r="AE49" s="3">
        <v>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1</v>
      </c>
      <c r="AR49" s="3">
        <v>2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1</v>
      </c>
      <c r="AY49" s="3">
        <v>0</v>
      </c>
      <c r="AZ49" s="3">
        <v>0</v>
      </c>
      <c r="BA49" s="3">
        <v>7</v>
      </c>
      <c r="BB49" s="3" t="s">
        <v>499</v>
      </c>
      <c r="BC49" s="3" t="s">
        <v>942</v>
      </c>
      <c r="BD49" s="3" t="s">
        <v>920</v>
      </c>
      <c r="BE49" s="3" t="s">
        <v>499</v>
      </c>
      <c r="BF49" s="3" t="s">
        <v>921</v>
      </c>
      <c r="BG49" s="3" t="s">
        <v>922</v>
      </c>
    </row>
    <row r="50" spans="1:59" ht="75">
      <c r="A50" s="3" t="s">
        <v>417</v>
      </c>
      <c r="B50" s="3" t="s">
        <v>395</v>
      </c>
      <c r="C50" s="3" t="s">
        <v>396</v>
      </c>
      <c r="D50" s="3" t="s">
        <v>418</v>
      </c>
      <c r="E50" s="3"/>
      <c r="F50" s="3" t="s">
        <v>923</v>
      </c>
      <c r="G50" s="3" t="s">
        <v>419</v>
      </c>
      <c r="H50" s="3" t="s">
        <v>419</v>
      </c>
      <c r="I50" s="3" t="s">
        <v>420</v>
      </c>
      <c r="J50" s="3" t="s">
        <v>421</v>
      </c>
      <c r="K50" s="3" t="s">
        <v>371</v>
      </c>
      <c r="L50" s="3" t="s">
        <v>400</v>
      </c>
      <c r="M50" s="3">
        <v>0</v>
      </c>
      <c r="N50" s="3" t="s">
        <v>422</v>
      </c>
      <c r="O50" s="4" t="s">
        <v>423</v>
      </c>
      <c r="P50" s="3" t="s">
        <v>424</v>
      </c>
      <c r="Q50" s="3"/>
      <c r="R50" s="3"/>
      <c r="S50" s="3" t="s">
        <v>423</v>
      </c>
      <c r="T50" s="3" t="s">
        <v>924</v>
      </c>
      <c r="U50" s="3" t="s">
        <v>925</v>
      </c>
      <c r="V50" s="3">
        <v>3</v>
      </c>
      <c r="W50" s="3">
        <v>3</v>
      </c>
      <c r="X50" s="3" t="s">
        <v>926</v>
      </c>
      <c r="Y50" s="3" t="s">
        <v>499</v>
      </c>
      <c r="Z50" s="3" t="s">
        <v>498</v>
      </c>
      <c r="AA50" s="3" t="s">
        <v>499</v>
      </c>
      <c r="AB50" s="3" t="s">
        <v>499</v>
      </c>
      <c r="AC50" s="3" t="s">
        <v>499</v>
      </c>
      <c r="AD50" s="3" t="s">
        <v>498</v>
      </c>
      <c r="AE50" s="3">
        <v>3</v>
      </c>
      <c r="AF50" s="3">
        <v>0</v>
      </c>
      <c r="AG50" s="3">
        <v>1</v>
      </c>
      <c r="AH50" s="3">
        <v>2</v>
      </c>
      <c r="AI50" s="3">
        <v>0</v>
      </c>
      <c r="AJ50" s="3">
        <v>1</v>
      </c>
      <c r="AK50" s="3">
        <v>0</v>
      </c>
      <c r="AL50" s="3">
        <v>1</v>
      </c>
      <c r="AM50" s="3">
        <v>2</v>
      </c>
      <c r="AN50" s="3">
        <v>2</v>
      </c>
      <c r="AO50" s="3">
        <v>0</v>
      </c>
      <c r="AP50" s="3">
        <v>1</v>
      </c>
      <c r="AQ50" s="3">
        <v>2</v>
      </c>
      <c r="AR50" s="3">
        <v>2</v>
      </c>
      <c r="AS50" s="3">
        <v>0</v>
      </c>
      <c r="AT50" s="3">
        <v>0</v>
      </c>
      <c r="AU50" s="3">
        <v>0</v>
      </c>
      <c r="AV50" s="3">
        <v>0</v>
      </c>
      <c r="AW50" s="3">
        <v>1</v>
      </c>
      <c r="AX50" s="3">
        <v>3</v>
      </c>
      <c r="AY50" s="3">
        <v>0</v>
      </c>
      <c r="AZ50" s="3">
        <v>0</v>
      </c>
      <c r="BA50" s="3">
        <v>21</v>
      </c>
      <c r="BB50" s="3" t="s">
        <v>499</v>
      </c>
      <c r="BC50" s="3" t="s">
        <v>943</v>
      </c>
      <c r="BD50" s="3" t="s">
        <v>927</v>
      </c>
      <c r="BE50" s="3" t="s">
        <v>499</v>
      </c>
      <c r="BF50" s="3" t="s">
        <v>928</v>
      </c>
      <c r="BG50" s="3" t="s">
        <v>929</v>
      </c>
    </row>
    <row r="51" spans="1:59" ht="75">
      <c r="A51" s="3" t="s">
        <v>425</v>
      </c>
      <c r="B51" s="3" t="s">
        <v>395</v>
      </c>
      <c r="C51" s="3" t="s">
        <v>396</v>
      </c>
      <c r="D51" s="3" t="s">
        <v>426</v>
      </c>
      <c r="E51" s="3"/>
      <c r="F51" s="3" t="s">
        <v>930</v>
      </c>
      <c r="G51" s="3" t="s">
        <v>427</v>
      </c>
      <c r="H51" s="3" t="s">
        <v>427</v>
      </c>
      <c r="I51" s="3" t="s">
        <v>428</v>
      </c>
      <c r="J51" s="3">
        <v>2018</v>
      </c>
      <c r="K51" s="3" t="s">
        <v>371</v>
      </c>
      <c r="L51" s="3" t="s">
        <v>400</v>
      </c>
      <c r="M51" s="3"/>
      <c r="N51" s="3" t="s">
        <v>429</v>
      </c>
      <c r="O51" s="4" t="s">
        <v>430</v>
      </c>
      <c r="P51" s="3" t="s">
        <v>431</v>
      </c>
      <c r="Q51" s="3"/>
      <c r="R51" s="3"/>
      <c r="S51" s="3" t="s">
        <v>430</v>
      </c>
      <c r="T51" s="3" t="s">
        <v>931</v>
      </c>
      <c r="U51" s="3" t="s">
        <v>932</v>
      </c>
      <c r="V51" s="3">
        <v>3</v>
      </c>
      <c r="W51" s="3">
        <v>3</v>
      </c>
      <c r="X51" s="3" t="s">
        <v>933</v>
      </c>
      <c r="Y51" s="3" t="s">
        <v>499</v>
      </c>
      <c r="Z51" s="3" t="s">
        <v>498</v>
      </c>
      <c r="AA51" s="3" t="s">
        <v>499</v>
      </c>
      <c r="AB51" s="3" t="s">
        <v>499</v>
      </c>
      <c r="AC51" s="3" t="s">
        <v>499</v>
      </c>
      <c r="AD51" s="3" t="s">
        <v>499</v>
      </c>
      <c r="AE51" s="3">
        <v>3</v>
      </c>
      <c r="AF51" s="3">
        <v>0</v>
      </c>
      <c r="AG51" s="3">
        <v>0</v>
      </c>
      <c r="AH51" s="3">
        <v>1</v>
      </c>
      <c r="AI51" s="3">
        <v>0</v>
      </c>
      <c r="AJ51" s="3">
        <v>2</v>
      </c>
      <c r="AK51" s="3">
        <v>0</v>
      </c>
      <c r="AL51" s="3">
        <v>1</v>
      </c>
      <c r="AM51" s="3">
        <v>2</v>
      </c>
      <c r="AN51" s="3">
        <v>2</v>
      </c>
      <c r="AO51" s="3">
        <v>2</v>
      </c>
      <c r="AP51" s="3">
        <v>2</v>
      </c>
      <c r="AQ51" s="3">
        <v>2</v>
      </c>
      <c r="AR51" s="3">
        <v>2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3</v>
      </c>
      <c r="AY51" s="3">
        <v>3</v>
      </c>
      <c r="AZ51" s="3">
        <v>1</v>
      </c>
      <c r="BA51" s="3">
        <v>26</v>
      </c>
      <c r="BB51" s="3" t="s">
        <v>499</v>
      </c>
      <c r="BC51" s="3" t="s">
        <v>944</v>
      </c>
      <c r="BD51" s="3" t="s">
        <v>934</v>
      </c>
      <c r="BE51" s="3" t="s">
        <v>499</v>
      </c>
      <c r="BF51" s="3" t="s">
        <v>935</v>
      </c>
      <c r="BG51" s="3" t="s">
        <v>936</v>
      </c>
    </row>
  </sheetData>
  <conditionalFormatting sqref="V2:V51">
    <cfRule type="cellIs" dxfId="2" priority="1" operator="greaterThanOrEqual">
      <formula>3</formula>
    </cfRule>
  </conditionalFormatting>
  <conditionalFormatting sqref="AE2:AZ51">
    <cfRule type="cellIs" dxfId="1" priority="2" operator="greaterThanOrEqual">
      <formula>3</formula>
    </cfRule>
    <cfRule type="cellIs" dxfId="0" priority="3" operator="equal">
      <formula>0</formula>
    </cfRule>
  </conditionalFormatting>
  <dataValidations count="4">
    <dataValidation type="list" sqref="V2:V51" xr:uid="{00000000-0002-0000-0000-000000000000}">
      <formula1>"0,1,2,3,4"</formula1>
    </dataValidation>
    <dataValidation type="list" sqref="AE2:AZ51 W2:W51" xr:uid="{00000000-0002-0000-0000-000001000000}">
      <formula1>"0,1,2,3"</formula1>
    </dataValidation>
    <dataValidation type="list" sqref="Y2:AD51 BE2:BE51" xr:uid="{00000000-0002-0000-0000-000002000000}">
      <formula1>"Yes,No,Unclear"</formula1>
    </dataValidation>
    <dataValidation type="list" sqref="U2:U51" xr:uid="{00000000-0002-0000-0000-000008000000}">
      <formula1>"Complete,Partial,Metadata only,Unclear"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2" sqref="B22"/>
    </sheetView>
  </sheetViews>
  <sheetFormatPr baseColWidth="10" defaultColWidth="8.83203125" defaultRowHeight="14"/>
  <cols>
    <col min="1" max="1" width="32" customWidth="1"/>
    <col min="2" max="2" width="36" customWidth="1"/>
    <col min="3" max="3" width="70" customWidth="1"/>
  </cols>
  <sheetData>
    <row r="1" spans="1:3" ht="16">
      <c r="A1" s="1" t="s">
        <v>432</v>
      </c>
      <c r="B1" s="1" t="s">
        <v>433</v>
      </c>
      <c r="C1" s="1" t="s">
        <v>434</v>
      </c>
    </row>
    <row r="2" spans="1:3">
      <c r="A2" t="s">
        <v>435</v>
      </c>
      <c r="B2" t="s">
        <v>436</v>
      </c>
      <c r="C2" t="s">
        <v>437</v>
      </c>
    </row>
    <row r="3" spans="1:3">
      <c r="A3" t="s">
        <v>438</v>
      </c>
      <c r="B3" t="s">
        <v>439</v>
      </c>
      <c r="C3" t="s">
        <v>440</v>
      </c>
    </row>
    <row r="4" spans="1:3">
      <c r="A4" t="s">
        <v>441</v>
      </c>
      <c r="B4" t="s">
        <v>442</v>
      </c>
      <c r="C4" t="s">
        <v>443</v>
      </c>
    </row>
    <row r="5" spans="1:3">
      <c r="A5" t="s">
        <v>444</v>
      </c>
      <c r="B5" t="s">
        <v>445</v>
      </c>
      <c r="C5" t="s">
        <v>446</v>
      </c>
    </row>
    <row r="6" spans="1:3">
      <c r="A6" t="s">
        <v>447</v>
      </c>
      <c r="B6" t="s">
        <v>448</v>
      </c>
      <c r="C6" t="s">
        <v>449</v>
      </c>
    </row>
    <row r="7" spans="1:3">
      <c r="A7" t="s">
        <v>450</v>
      </c>
      <c r="B7" t="s">
        <v>451</v>
      </c>
      <c r="C7" t="s">
        <v>452</v>
      </c>
    </row>
    <row r="8" spans="1:3">
      <c r="A8" t="s">
        <v>453</v>
      </c>
      <c r="B8" t="s">
        <v>454</v>
      </c>
      <c r="C8" t="s">
        <v>455</v>
      </c>
    </row>
    <row r="9" spans="1:3">
      <c r="A9" t="s">
        <v>456</v>
      </c>
      <c r="B9" t="s">
        <v>457</v>
      </c>
      <c r="C9" t="s">
        <v>458</v>
      </c>
    </row>
    <row r="10" spans="1:3">
      <c r="A10" t="s">
        <v>459</v>
      </c>
      <c r="B10" t="s">
        <v>460</v>
      </c>
      <c r="C10" t="s">
        <v>461</v>
      </c>
    </row>
    <row r="11" spans="1:3">
      <c r="A11" t="s">
        <v>462</v>
      </c>
      <c r="B11" t="s">
        <v>463</v>
      </c>
      <c r="C11" t="s">
        <v>464</v>
      </c>
    </row>
    <row r="12" spans="1:3">
      <c r="A12" t="s">
        <v>465</v>
      </c>
      <c r="B12" t="s">
        <v>161</v>
      </c>
      <c r="C12" t="s">
        <v>466</v>
      </c>
    </row>
    <row r="13" spans="1:3">
      <c r="A13" t="s">
        <v>467</v>
      </c>
      <c r="B13" t="s">
        <v>83</v>
      </c>
      <c r="C13" t="s">
        <v>468</v>
      </c>
    </row>
    <row r="14" spans="1:3">
      <c r="A14" t="s">
        <v>469</v>
      </c>
      <c r="B14" t="s">
        <v>66</v>
      </c>
      <c r="C14" t="s">
        <v>470</v>
      </c>
    </row>
    <row r="15" spans="1:3">
      <c r="A15" t="s">
        <v>471</v>
      </c>
      <c r="B15" t="s">
        <v>472</v>
      </c>
      <c r="C15" t="s">
        <v>473</v>
      </c>
    </row>
    <row r="16" spans="1:3">
      <c r="A16" t="s">
        <v>474</v>
      </c>
      <c r="B16" t="s">
        <v>475</v>
      </c>
      <c r="C16" t="s">
        <v>476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B20" sqref="B20"/>
    </sheetView>
  </sheetViews>
  <sheetFormatPr baseColWidth="10" defaultColWidth="8.83203125" defaultRowHeight="14"/>
  <cols>
    <col min="1" max="1" width="42" customWidth="1"/>
    <col min="2" max="2" width="28" customWidth="1"/>
    <col min="3" max="3" width="60" customWidth="1"/>
  </cols>
  <sheetData>
    <row r="1" spans="1:3" ht="16">
      <c r="A1" s="1" t="s">
        <v>477</v>
      </c>
      <c r="B1" s="1" t="s">
        <v>478</v>
      </c>
      <c r="C1" s="1" t="s">
        <v>479</v>
      </c>
    </row>
    <row r="2" spans="1:3">
      <c r="A2" t="s">
        <v>480</v>
      </c>
      <c r="B2">
        <f>COUNTA(Unified_Coding!A2:A51)</f>
        <v>50</v>
      </c>
      <c r="C2" t="s">
        <v>481</v>
      </c>
    </row>
    <row r="3" spans="1:3">
      <c r="A3" t="s">
        <v>482</v>
      </c>
      <c r="B3">
        <f>COUNTIF(Unified_Coding!B2:B51,"Czech Republic")</f>
        <v>41</v>
      </c>
      <c r="C3" t="s">
        <v>483</v>
      </c>
    </row>
    <row r="4" spans="1:3">
      <c r="A4" t="s">
        <v>484</v>
      </c>
      <c r="B4">
        <f>COUNTIF(Unified_Coding!B2:B51,"United Kingdom")</f>
        <v>4</v>
      </c>
      <c r="C4" t="s">
        <v>485</v>
      </c>
    </row>
    <row r="5" spans="1:3">
      <c r="A5" t="s">
        <v>486</v>
      </c>
      <c r="B5">
        <f>COUNTIF(Unified_Coding!B2:B51,"Netherlands")</f>
        <v>5</v>
      </c>
      <c r="C5" t="s">
        <v>485</v>
      </c>
    </row>
    <row r="6" spans="1:3">
      <c r="A6" t="s">
        <v>487</v>
      </c>
      <c r="B6">
        <f>COUNTIFS(Unified_Coding!V2:V51,"&gt;=3")</f>
        <v>13</v>
      </c>
      <c r="C6" t="s">
        <v>488</v>
      </c>
    </row>
    <row r="7" spans="1:3">
      <c r="A7" t="s">
        <v>489</v>
      </c>
      <c r="B7">
        <f>COUNTIF(Unified_Coding!BB2:BB51,"Yes")</f>
        <v>13</v>
      </c>
      <c r="C7" t="s">
        <v>490</v>
      </c>
    </row>
    <row r="8" spans="1:3">
      <c r="A8" t="s">
        <v>491</v>
      </c>
      <c r="B8">
        <f>IFERROR(AVERAGEIF(Unified_Coding!BA2:BA51,"&gt;0",Unified_Coding!BA2:BA51),0)</f>
        <v>8.720930232558139</v>
      </c>
      <c r="C8" t="s">
        <v>492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Unified_Coding</vt:lpstr>
      <vt:lpstr>Codebook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2026-05-10T19:43:25Z</dcterms:modified>
</cp:coreProperties>
</file>